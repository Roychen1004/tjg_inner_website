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830"/>
  <workbookPr dateCompatibility="0" defaultThemeVersion="124226"/>
  <mc:AlternateContent xmlns:mc="http://schemas.openxmlformats.org/markup-compatibility/2006">
    <mc:Choice Requires="x15">
      <x15ac:absPath xmlns:x15ac="http://schemas.microsoft.com/office/spreadsheetml/2010/11/ac" url="/Users/roy/Desktop/"/>
    </mc:Choice>
  </mc:AlternateContent>
  <xr:revisionPtr revIDLastSave="0" documentId="8_{43F89F5E-C712-1846-A614-FFB333A59190}" xr6:coauthVersionLast="47" xr6:coauthVersionMax="47" xr10:uidLastSave="{00000000-0000-0000-0000-000000000000}"/>
  <bookViews>
    <workbookView xWindow="800" yWindow="1580" windowWidth="29400" windowHeight="16500" xr2:uid="{82EEF045-3AEE-B34F-9823-A76B5788A1EC}"/>
  </bookViews>
  <sheets>
    <sheet name="A棟報價單" sheetId="1" r:id="rId1"/>
  </sheets>
  <definedNames>
    <definedName name="_xlnm.Print_Area" localSheetId="0">A棟報價單!$A$7:$I$51</definedName>
    <definedName name="_xlnm.Print_Titles" localSheetId="0">A棟報價單!$1:$6</definedName>
  </definedNames>
  <calcPr calcId="191029"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O5" i="1" l="1"/>
  <c r="S6" i="1"/>
  <c r="S7" i="1"/>
  <c r="S8" i="1"/>
  <c r="J9" i="1"/>
  <c r="H9" i="1" s="1"/>
  <c r="I9" i="1" s="1"/>
  <c r="L9" i="1"/>
  <c r="S9" i="1"/>
  <c r="T9" i="1"/>
  <c r="J10" i="1"/>
  <c r="H10" i="1" s="1"/>
  <c r="I10" i="1" s="1"/>
  <c r="L10" i="1"/>
  <c r="S10" i="1"/>
  <c r="S15" i="1" s="1"/>
  <c r="J25" i="1" s="1"/>
  <c r="H11" i="1"/>
  <c r="I11" i="1" s="1"/>
  <c r="J11" i="1"/>
  <c r="L11" i="1"/>
  <c r="S11" i="1"/>
  <c r="J12" i="1"/>
  <c r="H12" i="1" s="1"/>
  <c r="I12" i="1" s="1"/>
  <c r="L12" i="1"/>
  <c r="S12" i="1"/>
  <c r="J13" i="1"/>
  <c r="H13" i="1" s="1"/>
  <c r="I13" i="1" s="1"/>
  <c r="L13" i="1"/>
  <c r="J14" i="1"/>
  <c r="H14" i="1" s="1"/>
  <c r="I14" i="1" s="1"/>
  <c r="L14" i="1"/>
  <c r="S14" i="1"/>
  <c r="J15" i="1"/>
  <c r="H15" i="1" s="1"/>
  <c r="I15" i="1" s="1"/>
  <c r="L15" i="1"/>
  <c r="J16" i="1"/>
  <c r="H16" i="1" s="1"/>
  <c r="I16" i="1" s="1"/>
  <c r="L16" i="1"/>
  <c r="O16" i="1"/>
  <c r="J17" i="1"/>
  <c r="H17" i="1" s="1"/>
  <c r="I17" i="1" s="1"/>
  <c r="L17" i="1"/>
  <c r="S17" i="1"/>
  <c r="J18" i="1"/>
  <c r="S18" i="1"/>
  <c r="J19" i="1"/>
  <c r="H19" i="1" s="1"/>
  <c r="I19" i="1" s="1"/>
  <c r="L19" i="1"/>
  <c r="S19" i="1"/>
  <c r="J20" i="1"/>
  <c r="H20" i="1" s="1"/>
  <c r="I20" i="1" s="1"/>
  <c r="L20" i="1"/>
  <c r="S20" i="1"/>
  <c r="T20" i="1" s="1"/>
  <c r="H21" i="1"/>
  <c r="I21" i="1"/>
  <c r="L21" i="1"/>
  <c r="S21" i="1"/>
  <c r="H22" i="1"/>
  <c r="I22" i="1" s="1"/>
  <c r="L22" i="1"/>
  <c r="S22" i="1"/>
  <c r="H23" i="1"/>
  <c r="I23" i="1"/>
  <c r="L23" i="1"/>
  <c r="S23" i="1"/>
  <c r="S25" i="1"/>
  <c r="S26" i="1"/>
  <c r="J26" i="1" s="1"/>
  <c r="P28" i="1"/>
  <c r="S28" i="1" s="1"/>
  <c r="G29" i="1"/>
  <c r="H29" i="1"/>
  <c r="I29" i="1"/>
  <c r="L29" i="1"/>
  <c r="P29" i="1"/>
  <c r="S29" i="1" s="1"/>
  <c r="G30" i="1"/>
  <c r="P30" i="1"/>
  <c r="S30" i="1"/>
  <c r="G31" i="1"/>
  <c r="H31" i="1"/>
  <c r="G33" i="1"/>
  <c r="H33" i="1"/>
  <c r="G34" i="1"/>
  <c r="I34" i="1" s="1"/>
  <c r="H34" i="1"/>
  <c r="L34" i="1"/>
  <c r="G35" i="1"/>
  <c r="H35" i="1"/>
  <c r="M35" i="1"/>
  <c r="J36" i="1"/>
  <c r="H36" i="1" s="1"/>
  <c r="I36" i="1" s="1"/>
  <c r="L36" i="1"/>
  <c r="H37" i="1"/>
  <c r="I37" i="1"/>
  <c r="L37" i="1"/>
  <c r="H38" i="1"/>
  <c r="I38" i="1"/>
  <c r="L38" i="1"/>
  <c r="H25" i="1" l="1"/>
  <c r="I25" i="1" s="1"/>
  <c r="L25" i="1"/>
  <c r="H18" i="1"/>
  <c r="I18" i="1" s="1"/>
  <c r="I8" i="1" s="1"/>
  <c r="L18" i="1"/>
  <c r="H26" i="1"/>
  <c r="I26" i="1" s="1"/>
  <c r="L26" i="1"/>
  <c r="G32" i="1"/>
  <c r="I31" i="1"/>
  <c r="L31" i="1"/>
  <c r="I33" i="1"/>
  <c r="L33" i="1"/>
  <c r="L35" i="1"/>
  <c r="I35" i="1"/>
  <c r="S31" i="1"/>
  <c r="J30" i="1" s="1"/>
  <c r="J32" i="1" l="1"/>
  <c r="H32" i="1" s="1"/>
  <c r="L32" i="1"/>
  <c r="I32" i="1"/>
  <c r="H30" i="1"/>
  <c r="I30" i="1" s="1"/>
  <c r="I27" i="1" s="1"/>
  <c r="L30" i="1"/>
  <c r="I24" i="1"/>
  <c r="L49" i="1" l="1"/>
  <c r="I49" i="1"/>
  <c r="L50" i="1" l="1"/>
  <c r="L51" i="1" s="1"/>
  <c r="I51" i="1"/>
</calcChain>
</file>

<file path=xl/sharedStrings.xml><?xml version="1.0" encoding="utf-8"?>
<sst xmlns="http://purl.oclc.org/ooxml/spreadsheetml/main" count="178" uniqueCount="127">
  <si>
    <t xml:space="preserve"> </t>
  </si>
  <si>
    <t>項          目</t>
  </si>
  <si>
    <t>數 量</t>
  </si>
  <si>
    <t>單 價</t>
  </si>
  <si>
    <t>金 額</t>
  </si>
  <si>
    <t>成本單價</t>
  </si>
  <si>
    <t>抓利潤</t>
  </si>
  <si>
    <t>小計</t>
  </si>
  <si>
    <t>營業稅</t>
  </si>
  <si>
    <t>外加5%</t>
  </si>
  <si>
    <t>合計</t>
  </si>
  <si>
    <t>KG</t>
    <phoneticPr fontId="2" type="noConversion"/>
  </si>
  <si>
    <t>安奈</t>
    <phoneticPr fontId="2" type="noConversion"/>
  </si>
  <si>
    <r>
      <rPr>
        <sz val="14"/>
        <color indexed="8"/>
        <rFont val="新細明體"/>
        <family val="1"/>
        <charset val="136"/>
      </rPr>
      <t>項次</t>
    </r>
  </si>
  <si>
    <r>
      <rPr>
        <sz val="14"/>
        <color indexed="8"/>
        <rFont val="新細明體"/>
        <family val="1"/>
        <charset val="136"/>
      </rPr>
      <t>單位</t>
    </r>
  </si>
  <si>
    <r>
      <rPr>
        <sz val="10"/>
        <color indexed="8"/>
        <rFont val="新細明體"/>
        <family val="1"/>
        <charset val="136"/>
      </rPr>
      <t>安奈</t>
    </r>
    <r>
      <rPr>
        <sz val="10"/>
        <color indexed="8"/>
        <rFont val="Arial"/>
        <family val="2"/>
      </rPr>
      <t>6T</t>
    </r>
    <phoneticPr fontId="2" type="noConversion"/>
  </si>
  <si>
    <t>KG</t>
    <phoneticPr fontId="2" type="noConversion"/>
  </si>
  <si>
    <r>
      <rPr>
        <sz val="10"/>
        <color indexed="8"/>
        <rFont val="新細明體"/>
        <family val="1"/>
        <charset val="136"/>
      </rPr>
      <t>孔</t>
    </r>
    <phoneticPr fontId="2" type="noConversion"/>
  </si>
  <si>
    <t>A</t>
    <phoneticPr fontId="2" type="noConversion"/>
  </si>
  <si>
    <t>鋼構工程</t>
    <phoneticPr fontId="2" type="noConversion"/>
  </si>
  <si>
    <r>
      <rPr>
        <sz val="10"/>
        <color indexed="8"/>
        <rFont val="新細明體"/>
        <family val="1"/>
        <charset val="136"/>
      </rPr>
      <t>工資</t>
    </r>
    <phoneticPr fontId="2" type="noConversion"/>
  </si>
  <si>
    <t>座</t>
    <phoneticPr fontId="2" type="noConversion"/>
  </si>
  <si>
    <r>
      <rPr>
        <b/>
        <sz val="14"/>
        <color indexed="8"/>
        <rFont val="新細明體"/>
        <family val="1"/>
        <charset val="136"/>
      </rPr>
      <t>一</t>
    </r>
    <phoneticPr fontId="2" type="noConversion"/>
  </si>
  <si>
    <r>
      <rPr>
        <b/>
        <sz val="14"/>
        <color indexed="8"/>
        <rFont val="新細明體"/>
        <family val="1"/>
        <charset val="136"/>
      </rPr>
      <t>鐵材材料</t>
    </r>
    <phoneticPr fontId="2" type="noConversion"/>
  </si>
  <si>
    <t>SN400B</t>
    <phoneticPr fontId="2" type="noConversion"/>
  </si>
  <si>
    <t>KG</t>
    <phoneticPr fontId="2" type="noConversion"/>
  </si>
  <si>
    <t>安奈</t>
    <phoneticPr fontId="2" type="noConversion"/>
  </si>
  <si>
    <t>SN400B</t>
    <phoneticPr fontId="2" type="noConversion"/>
  </si>
  <si>
    <t>H300*150*6.5*9</t>
    <phoneticPr fontId="2" type="noConversion"/>
  </si>
  <si>
    <r>
      <rPr>
        <sz val="10"/>
        <color indexed="8"/>
        <rFont val="新細明體"/>
        <family val="1"/>
        <charset val="136"/>
      </rPr>
      <t>工資</t>
    </r>
    <phoneticPr fontId="2" type="noConversion"/>
  </si>
  <si>
    <t>座</t>
    <phoneticPr fontId="2" type="noConversion"/>
  </si>
  <si>
    <t>H500*200*10*16</t>
    <phoneticPr fontId="2" type="noConversion"/>
  </si>
  <si>
    <t>鐵板</t>
    <phoneticPr fontId="2" type="noConversion"/>
  </si>
  <si>
    <r>
      <rPr>
        <sz val="14"/>
        <color indexed="8"/>
        <rFont val="新細明體"/>
        <family val="1"/>
        <charset val="136"/>
      </rPr>
      <t>風拉桿</t>
    </r>
    <r>
      <rPr>
        <sz val="14"/>
        <color indexed="8"/>
        <rFont val="Arial"/>
        <family val="2"/>
      </rPr>
      <t>Ф19</t>
    </r>
    <phoneticPr fontId="2" type="noConversion"/>
  </si>
  <si>
    <t>M</t>
    <phoneticPr fontId="2" type="noConversion"/>
  </si>
  <si>
    <r>
      <t>6</t>
    </r>
    <r>
      <rPr>
        <sz val="14"/>
        <color indexed="8"/>
        <rFont val="新細明體"/>
        <family val="1"/>
        <charset val="136"/>
      </rPr>
      <t>分伸縮器</t>
    </r>
    <phoneticPr fontId="2" type="noConversion"/>
  </si>
  <si>
    <r>
      <rPr>
        <sz val="14"/>
        <color indexed="8"/>
        <rFont val="細明體"/>
        <family val="1"/>
        <charset val="136"/>
      </rPr>
      <t>支</t>
    </r>
    <phoneticPr fontId="2" type="noConversion"/>
  </si>
  <si>
    <t>二</t>
    <phoneticPr fontId="2" type="noConversion"/>
  </si>
  <si>
    <r>
      <rPr>
        <sz val="14"/>
        <color indexed="8"/>
        <rFont val="新細明體"/>
        <family val="1"/>
        <charset val="136"/>
      </rPr>
      <t>座</t>
    </r>
    <phoneticPr fontId="2" type="noConversion"/>
  </si>
  <si>
    <r>
      <rPr>
        <b/>
        <sz val="14"/>
        <rFont val="新細明體"/>
        <family val="1"/>
        <charset val="136"/>
      </rPr>
      <t>製造加工</t>
    </r>
    <r>
      <rPr>
        <b/>
        <sz val="14"/>
        <rFont val="Arial"/>
        <family val="2"/>
      </rPr>
      <t>.</t>
    </r>
    <r>
      <rPr>
        <b/>
        <sz val="14"/>
        <rFont val="新細明體"/>
        <family val="1"/>
        <charset val="136"/>
      </rPr>
      <t>按裝組力工資</t>
    </r>
    <r>
      <rPr>
        <b/>
        <sz val="14"/>
        <rFont val="Arial"/>
        <family val="2"/>
      </rPr>
      <t/>
    </r>
    <phoneticPr fontId="2" type="noConversion"/>
  </si>
  <si>
    <r>
      <t>(</t>
    </r>
    <r>
      <rPr>
        <sz val="14"/>
        <rFont val="細明體"/>
        <family val="1"/>
        <charset val="136"/>
      </rPr>
      <t>含以下施工項目與五金螺絲耗材</t>
    </r>
    <r>
      <rPr>
        <sz val="14"/>
        <rFont val="Arial"/>
        <family val="2"/>
      </rPr>
      <t>)</t>
    </r>
    <phoneticPr fontId="2" type="noConversion"/>
  </si>
  <si>
    <r>
      <rPr>
        <sz val="14"/>
        <color indexed="8"/>
        <rFont val="新細明體"/>
        <family val="1"/>
        <charset val="136"/>
      </rPr>
      <t>廠內製造加工施作</t>
    </r>
    <phoneticPr fontId="2" type="noConversion"/>
  </si>
  <si>
    <r>
      <rPr>
        <sz val="14"/>
        <rFont val="新細明體"/>
        <family val="1"/>
        <charset val="136"/>
      </rPr>
      <t>現場按裝組立工資</t>
    </r>
    <phoneticPr fontId="2" type="noConversion"/>
  </si>
  <si>
    <t>KG</t>
    <phoneticPr fontId="2" type="noConversion"/>
  </si>
  <si>
    <t>運費</t>
    <phoneticPr fontId="2" type="noConversion"/>
  </si>
  <si>
    <t>KG</t>
    <phoneticPr fontId="2" type="noConversion"/>
  </si>
  <si>
    <r>
      <rPr>
        <sz val="14"/>
        <color indexed="8"/>
        <rFont val="細明體"/>
        <family val="1"/>
        <charset val="136"/>
      </rPr>
      <t>安全防護</t>
    </r>
    <phoneticPr fontId="2" type="noConversion"/>
  </si>
  <si>
    <r>
      <t>CO2</t>
    </r>
    <r>
      <rPr>
        <sz val="14"/>
        <color indexed="8"/>
        <rFont val="新細明體"/>
        <family val="1"/>
        <charset val="136"/>
      </rPr>
      <t>焊材乙炔</t>
    </r>
    <phoneticPr fontId="2" type="noConversion"/>
  </si>
  <si>
    <t>KG</t>
    <phoneticPr fontId="2" type="noConversion"/>
  </si>
  <si>
    <r>
      <rPr>
        <sz val="14"/>
        <color indexed="8"/>
        <rFont val="細明體"/>
        <family val="1"/>
        <charset val="136"/>
      </rPr>
      <t>組</t>
    </r>
    <phoneticPr fontId="2" type="noConversion"/>
  </si>
  <si>
    <r>
      <t>4</t>
    </r>
    <r>
      <rPr>
        <sz val="14"/>
        <color indexed="8"/>
        <rFont val="新細明體"/>
        <family val="1"/>
        <charset val="136"/>
      </rPr>
      <t>分魚尾</t>
    </r>
    <phoneticPr fontId="2" type="noConversion"/>
  </si>
  <si>
    <r>
      <rPr>
        <sz val="14"/>
        <color indexed="8"/>
        <rFont val="新細明體"/>
        <family val="1"/>
        <charset val="136"/>
      </rPr>
      <t>樑</t>
    </r>
    <r>
      <rPr>
        <sz val="14"/>
        <color indexed="8"/>
        <rFont val="Arial"/>
        <family val="2"/>
      </rPr>
      <t>.</t>
    </r>
    <r>
      <rPr>
        <sz val="14"/>
        <color indexed="8"/>
        <rFont val="新細明體"/>
        <family val="1"/>
        <charset val="136"/>
      </rPr>
      <t>柱接頭現場全滲透焊接</t>
    </r>
    <phoneticPr fontId="2" type="noConversion"/>
  </si>
  <si>
    <r>
      <rPr>
        <sz val="14"/>
        <color indexed="8"/>
        <rFont val="新細明體"/>
        <family val="1"/>
        <charset val="136"/>
      </rPr>
      <t>口</t>
    </r>
    <phoneticPr fontId="2" type="noConversion"/>
  </si>
  <si>
    <t>B</t>
    <phoneticPr fontId="2" type="noConversion"/>
  </si>
  <si>
    <r>
      <rPr>
        <b/>
        <sz val="14"/>
        <color indexed="8"/>
        <rFont val="新細明體"/>
        <family val="1"/>
        <charset val="136"/>
      </rPr>
      <t>工地工程保險</t>
    </r>
    <phoneticPr fontId="2" type="noConversion"/>
  </si>
  <si>
    <r>
      <rPr>
        <sz val="14"/>
        <color indexed="8"/>
        <rFont val="細明體"/>
        <family val="1"/>
        <charset val="136"/>
      </rPr>
      <t>式</t>
    </r>
    <phoneticPr fontId="2" type="noConversion"/>
  </si>
  <si>
    <r>
      <rPr>
        <b/>
        <sz val="14"/>
        <color indexed="8"/>
        <rFont val="新細明體"/>
        <family val="1"/>
        <charset val="136"/>
      </rPr>
      <t>※</t>
    </r>
  </si>
  <si>
    <t>小計</t>
    <phoneticPr fontId="2" type="noConversion"/>
  </si>
  <si>
    <t>客戶名稱:</t>
    <phoneticPr fontId="2" type="noConversion"/>
  </si>
  <si>
    <r>
      <t xml:space="preserve">                                    </t>
    </r>
    <r>
      <rPr>
        <b/>
        <sz val="19"/>
        <color indexed="8"/>
        <rFont val="新細明體"/>
        <family val="1"/>
        <charset val="136"/>
      </rPr>
      <t xml:space="preserve">報          價          單 </t>
    </r>
    <r>
      <rPr>
        <b/>
        <sz val="18"/>
        <color indexed="8"/>
        <rFont val="新細明體"/>
        <family val="1"/>
        <charset val="136"/>
      </rPr>
      <t xml:space="preserve">    </t>
    </r>
    <r>
      <rPr>
        <b/>
        <sz val="11"/>
        <color indexed="8"/>
        <rFont val="新細明體"/>
        <family val="1"/>
        <charset val="136"/>
      </rPr>
      <t xml:space="preserve">  </t>
    </r>
    <r>
      <rPr>
        <sz val="11"/>
        <color indexed="8"/>
        <rFont val="新細明體"/>
        <family val="1"/>
        <charset val="136"/>
      </rPr>
      <t>(115.08.19)FAX:</t>
    </r>
    <phoneticPr fontId="2" type="noConversion"/>
  </si>
  <si>
    <t>報價日期：115.08.19</t>
    <phoneticPr fontId="2" type="noConversion"/>
  </si>
  <si>
    <t>H148*100*6*9</t>
    <phoneticPr fontId="2" type="noConversion"/>
  </si>
  <si>
    <t>H200*100*5.5*8</t>
    <phoneticPr fontId="2" type="noConversion"/>
  </si>
  <si>
    <t>H300*300*10*15</t>
    <phoneticPr fontId="2" type="noConversion"/>
  </si>
  <si>
    <t>H400*200*8*13</t>
    <phoneticPr fontId="2" type="noConversion"/>
  </si>
  <si>
    <t>H588*300*12*20</t>
    <phoneticPr fontId="2" type="noConversion"/>
  </si>
  <si>
    <r>
      <rPr>
        <sz val="14"/>
        <color indexed="8"/>
        <rFont val="細明體"/>
        <family val="1"/>
        <charset val="136"/>
      </rPr>
      <t>角鐵</t>
    </r>
    <r>
      <rPr>
        <sz val="14"/>
        <color indexed="8"/>
        <rFont val="Arial"/>
        <family val="2"/>
      </rPr>
      <t>75*6T</t>
    </r>
    <phoneticPr fontId="2" type="noConversion"/>
  </si>
  <si>
    <t>槽鐵100*50*5*7.5</t>
    <phoneticPr fontId="2" type="noConversion"/>
  </si>
  <si>
    <t>槽鐵125*65*6*8</t>
    <phoneticPr fontId="2" type="noConversion"/>
  </si>
  <si>
    <r>
      <t>H390*300*10*16(</t>
    </r>
    <r>
      <rPr>
        <sz val="14"/>
        <color indexed="8"/>
        <rFont val="細明體"/>
        <family val="1"/>
        <charset val="136"/>
      </rPr>
      <t>牛腿</t>
    </r>
    <r>
      <rPr>
        <sz val="14"/>
        <color indexed="8"/>
        <rFont val="Arial"/>
        <family val="2"/>
      </rPr>
      <t>)</t>
    </r>
    <phoneticPr fontId="2" type="noConversion"/>
  </si>
  <si>
    <r>
      <rPr>
        <sz val="14"/>
        <color indexed="8"/>
        <rFont val="新細明體"/>
        <family val="1"/>
        <charset val="136"/>
      </rPr>
      <t>黑皮</t>
    </r>
    <r>
      <rPr>
        <sz val="14"/>
        <color indexed="8"/>
        <rFont val="Arial"/>
        <family val="2"/>
      </rPr>
      <t>C</t>
    </r>
    <r>
      <rPr>
        <sz val="14"/>
        <color indexed="8"/>
        <rFont val="新細明體"/>
        <family val="1"/>
        <charset val="136"/>
      </rPr>
      <t>型鋼</t>
    </r>
    <r>
      <rPr>
        <sz val="14"/>
        <color indexed="8"/>
        <rFont val="Arial"/>
        <family val="2"/>
      </rPr>
      <t>150*3.0</t>
    </r>
    <phoneticPr fontId="2" type="noConversion"/>
  </si>
  <si>
    <t>8M*2支</t>
    <phoneticPr fontId="2" type="noConversion"/>
  </si>
  <si>
    <t>12M*12支</t>
    <phoneticPr fontId="2" type="noConversion"/>
  </si>
  <si>
    <t>12M*15支</t>
    <phoneticPr fontId="2" type="noConversion"/>
  </si>
  <si>
    <t>15M*5支/14M*5支/13M*1支</t>
    <phoneticPr fontId="2" type="noConversion"/>
  </si>
  <si>
    <t>9M*2支</t>
    <phoneticPr fontId="2" type="noConversion"/>
  </si>
  <si>
    <t>12M*11支/10M*8支/9M*1</t>
    <phoneticPr fontId="2" type="noConversion"/>
  </si>
  <si>
    <t>10M*28支</t>
    <phoneticPr fontId="2" type="noConversion"/>
  </si>
  <si>
    <t>14M*21支</t>
    <phoneticPr fontId="2" type="noConversion"/>
  </si>
  <si>
    <t>10M*2支</t>
    <phoneticPr fontId="2" type="noConversion"/>
  </si>
  <si>
    <t>8M*40支</t>
    <phoneticPr fontId="2" type="noConversion"/>
  </si>
  <si>
    <t>8M*36支/12M*24支</t>
    <phoneticPr fontId="2" type="noConversion"/>
  </si>
  <si>
    <t>H數量為實際重量,單價*1.05</t>
    <phoneticPr fontId="2" type="noConversion"/>
  </si>
  <si>
    <t>115.08.19基價25</t>
    <phoneticPr fontId="2" type="noConversion"/>
  </si>
  <si>
    <t>115.08.19聯昇23/KG</t>
    <phoneticPr fontId="2" type="noConversion"/>
  </si>
  <si>
    <t>單價23.3/KG*1613/720=53+工資112</t>
    <phoneticPr fontId="2" type="noConversion"/>
  </si>
  <si>
    <r>
      <rPr>
        <sz val="14"/>
        <color indexed="8"/>
        <rFont val="新細明體"/>
        <family val="1"/>
        <charset val="136"/>
      </rPr>
      <t>基礎</t>
    </r>
    <r>
      <rPr>
        <sz val="14"/>
        <color indexed="8"/>
        <rFont val="Arial"/>
        <family val="2"/>
      </rPr>
      <t>Ø36*1400L*14</t>
    </r>
    <r>
      <rPr>
        <sz val="14"/>
        <color indexed="8"/>
        <rFont val="新細明體"/>
        <family val="1"/>
        <charset val="136"/>
      </rPr>
      <t>支(雙頭牙)</t>
    </r>
    <phoneticPr fontId="2" type="noConversion"/>
  </si>
  <si>
    <r>
      <rPr>
        <sz val="14"/>
        <color indexed="8"/>
        <rFont val="新細明體"/>
        <family val="1"/>
        <charset val="136"/>
      </rPr>
      <t>基礎</t>
    </r>
    <r>
      <rPr>
        <sz val="14"/>
        <color indexed="8"/>
        <rFont val="Arial"/>
        <family val="2"/>
      </rPr>
      <t>Ø32*1400L*12</t>
    </r>
    <r>
      <rPr>
        <sz val="14"/>
        <color indexed="8"/>
        <rFont val="新細明體"/>
        <family val="1"/>
        <charset val="136"/>
      </rPr>
      <t>支</t>
    </r>
    <r>
      <rPr>
        <sz val="14"/>
        <color indexed="8"/>
        <rFont val="Arial"/>
        <family val="2"/>
      </rPr>
      <t>(</t>
    </r>
    <r>
      <rPr>
        <sz val="14"/>
        <color indexed="8"/>
        <rFont val="新細明體"/>
        <family val="1"/>
        <charset val="136"/>
      </rPr>
      <t>雙頭牙</t>
    </r>
    <r>
      <rPr>
        <sz val="14"/>
        <color indexed="8"/>
        <rFont val="Arial"/>
        <family val="2"/>
      </rPr>
      <t>)</t>
    </r>
    <phoneticPr fontId="2" type="noConversion"/>
  </si>
  <si>
    <r>
      <rPr>
        <sz val="14"/>
        <color indexed="8"/>
        <rFont val="細明體"/>
        <family val="1"/>
        <charset val="136"/>
      </rPr>
      <t>表面處理</t>
    </r>
    <r>
      <rPr>
        <sz val="14"/>
        <color indexed="8"/>
        <rFont val="Arial"/>
        <family val="2"/>
      </rPr>
      <t>-(</t>
    </r>
    <r>
      <rPr>
        <sz val="14"/>
        <color indexed="8"/>
        <rFont val="細明體"/>
        <family val="1"/>
        <charset val="136"/>
      </rPr>
      <t>熱浸</t>
    </r>
    <r>
      <rPr>
        <sz val="14"/>
        <color indexed="8"/>
        <rFont val="Arial"/>
        <family val="2"/>
      </rPr>
      <t>)</t>
    </r>
    <phoneticPr fontId="2" type="noConversion"/>
  </si>
  <si>
    <t>估價項目:A棟鋼構工程</t>
    <phoneticPr fontId="2" type="noConversion"/>
  </si>
  <si>
    <t>熱浸</t>
    <phoneticPr fontId="2" type="noConversion"/>
  </si>
  <si>
    <r>
      <t>H</t>
    </r>
    <r>
      <rPr>
        <sz val="12"/>
        <color theme="1"/>
        <rFont val="新細明體"/>
        <family val="1"/>
        <charset val="136"/>
        <scheme val="minor"/>
      </rPr>
      <t>+鐵板</t>
    </r>
    <phoneticPr fontId="2" type="noConversion"/>
  </si>
  <si>
    <t>角鐵+槽鐵</t>
    <phoneticPr fontId="2" type="noConversion"/>
  </si>
  <si>
    <r>
      <t>K</t>
    </r>
    <r>
      <rPr>
        <sz val="12"/>
        <color theme="1"/>
        <rFont val="新細明體"/>
        <family val="1"/>
        <charset val="136"/>
        <scheme val="minor"/>
      </rPr>
      <t>G</t>
    </r>
    <phoneticPr fontId="2" type="noConversion"/>
  </si>
  <si>
    <t>115.08.19德瑞</t>
    <phoneticPr fontId="2" type="noConversion"/>
  </si>
  <si>
    <t>基礎螺栓</t>
    <phoneticPr fontId="2" type="noConversion"/>
  </si>
  <si>
    <r>
      <t>螺母(</t>
    </r>
    <r>
      <rPr>
        <sz val="12"/>
        <color theme="1"/>
        <rFont val="新細明體"/>
        <family val="1"/>
        <charset val="136"/>
        <scheme val="minor"/>
      </rPr>
      <t>OT)</t>
    </r>
    <phoneticPr fontId="2" type="noConversion"/>
  </si>
  <si>
    <t>華司</t>
    <phoneticPr fontId="2" type="noConversion"/>
  </si>
  <si>
    <t>基礎螺栓(黑)</t>
    <phoneticPr fontId="2" type="noConversion"/>
  </si>
  <si>
    <t>安奈6T</t>
    <phoneticPr fontId="2" type="noConversion"/>
  </si>
  <si>
    <t>支</t>
    <phoneticPr fontId="2" type="noConversion"/>
  </si>
  <si>
    <t>只</t>
    <phoneticPr fontId="2" type="noConversion"/>
  </si>
  <si>
    <t>座</t>
    <phoneticPr fontId="2" type="noConversion"/>
  </si>
  <si>
    <r>
      <t>F10T</t>
    </r>
    <r>
      <rPr>
        <sz val="14"/>
        <color indexed="8"/>
        <rFont val="新細明體"/>
        <family val="1"/>
        <charset val="136"/>
      </rPr>
      <t>鍍鉻酸塩扭斷螺絲</t>
    </r>
    <r>
      <rPr>
        <sz val="14"/>
        <color indexed="8"/>
        <rFont val="Arial"/>
        <family val="2"/>
      </rPr>
      <t>-</t>
    </r>
    <r>
      <rPr>
        <sz val="12"/>
        <color indexed="8"/>
        <rFont val="Arial"/>
        <family val="2"/>
      </rPr>
      <t>M20.M22.M24</t>
    </r>
    <phoneticPr fontId="2" type="noConversion"/>
  </si>
  <si>
    <t>C型鋼+風拉桿</t>
    <phoneticPr fontId="2" type="noConversion"/>
  </si>
  <si>
    <t>18*7000/170730=0.74</t>
    <phoneticPr fontId="2" type="noConversion"/>
  </si>
  <si>
    <t>88/KG*1179/1992+工資10/組=53+10=63</t>
    <phoneticPr fontId="2" type="noConversion"/>
  </si>
  <si>
    <t>以下空白</t>
    <phoneticPr fontId="2" type="noConversion"/>
  </si>
  <si>
    <t>以上報價不包含樓承鋼板工程.不含樓梯扶手欄杆.不含雨遮骨架(結構無圖面標示)</t>
    <phoneticPr fontId="2" type="noConversion"/>
  </si>
  <si>
    <r>
      <rPr>
        <b/>
        <sz val="12"/>
        <color indexed="10"/>
        <rFont val="新細明體"/>
        <family val="1"/>
        <charset val="136"/>
      </rPr>
      <t>鐵材隨行情波動</t>
    </r>
    <r>
      <rPr>
        <b/>
        <sz val="12"/>
        <color indexed="10"/>
        <rFont val="Arial"/>
        <family val="2"/>
      </rPr>
      <t>,</t>
    </r>
    <r>
      <rPr>
        <b/>
        <sz val="12"/>
        <color indexed="10"/>
        <rFont val="新細明體"/>
        <family val="1"/>
        <charset val="136"/>
      </rPr>
      <t>依定案時之時價做增加減調整！</t>
    </r>
    <phoneticPr fontId="2" type="noConversion"/>
  </si>
  <si>
    <t>(2200*76+1800*36)/108=2149</t>
    <phoneticPr fontId="2" type="noConversion"/>
  </si>
  <si>
    <t>三</t>
    <phoneticPr fontId="2" type="noConversion"/>
  </si>
  <si>
    <t>此報價單RC牆,柱.樑如需補強ㄈ字鋼筋或剪力釘需另外報價。此報價非日式接頭</t>
    <phoneticPr fontId="2" type="noConversion"/>
  </si>
  <si>
    <t>以上報價不包含浪板工程.不含門窗工程.不含土木工程.不含無收縮水泥工程。</t>
    <phoneticPr fontId="2" type="noConversion"/>
  </si>
  <si>
    <r>
      <rPr>
        <b/>
        <sz val="12"/>
        <color indexed="10"/>
        <rFont val="新細明體"/>
        <family val="1"/>
        <charset val="136"/>
      </rPr>
      <t>以上報價不含焊接超音波檢查</t>
    </r>
    <r>
      <rPr>
        <b/>
        <sz val="12"/>
        <color indexed="10"/>
        <rFont val="Arial"/>
        <family val="2"/>
      </rPr>
      <t>.</t>
    </r>
    <r>
      <rPr>
        <b/>
        <sz val="12"/>
        <color indexed="10"/>
        <rFont val="新細明體"/>
        <family val="1"/>
        <charset val="136"/>
      </rPr>
      <t>不含水電工程</t>
    </r>
    <r>
      <rPr>
        <b/>
        <sz val="12"/>
        <color indexed="10"/>
        <rFont val="Arial"/>
        <family val="2"/>
      </rPr>
      <t>,</t>
    </r>
    <r>
      <rPr>
        <b/>
        <sz val="12"/>
        <color indexed="10"/>
        <rFont val="新細明體"/>
        <family val="1"/>
        <charset val="136"/>
      </rPr>
      <t>工程施工時電力請業主提供。</t>
    </r>
    <phoneticPr fontId="2" type="noConversion"/>
  </si>
  <si>
    <t>工資.放樣</t>
    <phoneticPr fontId="2" type="noConversion"/>
  </si>
  <si>
    <t>115.08.21謝'S</t>
    <phoneticPr fontId="2" type="noConversion"/>
  </si>
  <si>
    <r>
      <rPr>
        <sz val="10"/>
        <rFont val="新細明體"/>
        <family val="1"/>
        <charset val="136"/>
      </rPr>
      <t>特約事項</t>
    </r>
    <r>
      <rPr>
        <sz val="10"/>
        <rFont val="Arial"/>
        <family val="2"/>
      </rPr>
      <t>:</t>
    </r>
    <r>
      <rPr>
        <sz val="10"/>
        <rFont val="新細明體"/>
        <family val="1"/>
        <charset val="136"/>
      </rPr>
      <t>本報價單上除非有特別記載以成品之重量計價並同時載明各項目重量之單價外</t>
    </r>
    <r>
      <rPr>
        <sz val="10"/>
        <rFont val="Arial"/>
        <family val="2"/>
      </rPr>
      <t>,</t>
    </r>
    <phoneticPr fontId="2" type="noConversion"/>
  </si>
  <si>
    <r>
      <rPr>
        <sz val="10"/>
        <rFont val="新細明體"/>
        <family val="1"/>
        <charset val="136"/>
      </rPr>
      <t>否則本報價單上關於重量之文字</t>
    </r>
    <r>
      <rPr>
        <sz val="10"/>
        <rFont val="Arial"/>
        <family val="2"/>
      </rPr>
      <t>,</t>
    </r>
    <r>
      <rPr>
        <sz val="10"/>
        <rFont val="新細明體"/>
        <family val="1"/>
        <charset val="136"/>
      </rPr>
      <t>均僅係概估值</t>
    </r>
    <r>
      <rPr>
        <sz val="10"/>
        <rFont val="Arial"/>
        <family val="2"/>
      </rPr>
      <t>,</t>
    </r>
    <r>
      <rPr>
        <sz val="10"/>
        <rFont val="新細明體"/>
        <family val="1"/>
        <charset val="136"/>
      </rPr>
      <t>而以一式或一座計價</t>
    </r>
    <r>
      <rPr>
        <sz val="10"/>
        <rFont val="Arial"/>
        <family val="2"/>
      </rPr>
      <t>,</t>
    </r>
    <r>
      <rPr>
        <sz val="10"/>
        <rFont val="新細明體"/>
        <family val="1"/>
        <charset val="136"/>
      </rPr>
      <t>未保證最終成本之重量</t>
    </r>
    <phoneticPr fontId="2" type="noConversion"/>
  </si>
  <si>
    <r>
      <t>,</t>
    </r>
    <r>
      <rPr>
        <sz val="10"/>
        <rFont val="新細明體"/>
        <family val="1"/>
        <charset val="136"/>
      </rPr>
      <t>倘最終成品之重量與本報價單上重量之記載不符</t>
    </r>
    <r>
      <rPr>
        <sz val="10"/>
        <rFont val="Arial"/>
        <family val="2"/>
      </rPr>
      <t>,</t>
    </r>
    <r>
      <rPr>
        <sz val="10"/>
        <rFont val="新細明體"/>
        <family val="1"/>
        <charset val="136"/>
      </rPr>
      <t>應以最終成品之重量為準。</t>
    </r>
    <phoneticPr fontId="2" type="noConversion"/>
  </si>
  <si>
    <r>
      <rPr>
        <sz val="10"/>
        <rFont val="新細明體"/>
        <family val="1"/>
        <charset val="136"/>
      </rPr>
      <t>本公司不負瑕疵擔保責任及債務不履行責任。</t>
    </r>
    <phoneticPr fontId="2" type="noConversion"/>
  </si>
  <si>
    <r>
      <t>1.</t>
    </r>
    <r>
      <rPr>
        <sz val="10"/>
        <rFont val="新細明體"/>
        <family val="1"/>
        <charset val="136"/>
      </rPr>
      <t>以上未列出之項目為未包含於本報價單內。</t>
    </r>
    <phoneticPr fontId="2" type="noConversion"/>
  </si>
  <si>
    <r>
      <t>2.</t>
    </r>
    <r>
      <rPr>
        <sz val="10"/>
        <color indexed="8"/>
        <rFont val="新細明體"/>
        <family val="1"/>
        <charset val="136"/>
      </rPr>
      <t>定金總價</t>
    </r>
    <r>
      <rPr>
        <sz val="10"/>
        <color indexed="8"/>
        <rFont val="Arial"/>
        <family val="2"/>
      </rPr>
      <t>30%(</t>
    </r>
    <r>
      <rPr>
        <sz val="10"/>
        <color indexed="8"/>
        <rFont val="新細明體"/>
        <family val="1"/>
        <charset val="136"/>
      </rPr>
      <t>本報價單為現金價</t>
    </r>
    <r>
      <rPr>
        <sz val="10"/>
        <color indexed="8"/>
        <rFont val="Arial"/>
        <family val="2"/>
      </rPr>
      <t>,</t>
    </r>
    <r>
      <rPr>
        <sz val="10"/>
        <color indexed="8"/>
        <rFont val="新細明體"/>
        <family val="1"/>
        <charset val="136"/>
      </rPr>
      <t>現金票不扣</t>
    </r>
    <r>
      <rPr>
        <sz val="10"/>
        <color indexed="8"/>
        <rFont val="Arial"/>
        <family val="2"/>
      </rPr>
      <t>%)</t>
    </r>
    <r>
      <rPr>
        <sz val="10"/>
        <color indexed="8"/>
        <rFont val="新細明體"/>
        <family val="1"/>
        <charset val="136"/>
      </rPr>
      <t>。</t>
    </r>
    <phoneticPr fontId="2" type="noConversion"/>
  </si>
  <si>
    <r>
      <t>3.</t>
    </r>
    <r>
      <rPr>
        <sz val="10"/>
        <rFont val="新細明體"/>
        <family val="1"/>
        <charset val="136"/>
      </rPr>
      <t>本報價單</t>
    </r>
    <r>
      <rPr>
        <sz val="10"/>
        <rFont val="Arial"/>
        <family val="2"/>
      </rPr>
      <t>3</t>
    </r>
    <r>
      <rPr>
        <sz val="10"/>
        <rFont val="新細明體"/>
        <family val="1"/>
        <charset val="136"/>
      </rPr>
      <t>日內有效。</t>
    </r>
    <phoneticPr fontId="2" type="noConversion"/>
  </si>
  <si>
    <t>聯絡人: XXX董事長</t>
    <phoneticPr fontId="2" type="noConversion"/>
  </si>
  <si>
    <r>
      <t>工程名稱:</t>
    </r>
    <r>
      <rPr>
        <sz val="14"/>
        <rFont val="新細明體"/>
        <family val="1"/>
        <charset val="136"/>
      </rPr>
      <t>XXX公司</t>
    </r>
    <r>
      <rPr>
        <sz val="12"/>
        <rFont val="新細明體"/>
        <family val="1"/>
        <charset val="136"/>
      </rPr>
      <t>廠房新建工程</t>
    </r>
    <phoneticPr fontId="2" type="noConversion"/>
  </si>
  <si>
    <t>聯絡電話:09XX-XXXXXX</t>
    <phoneticPr fontId="2" type="noConversion"/>
  </si>
</sst>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_);[Red]\(&quot;$&quot;#,##0\)"/>
    <numFmt numFmtId="42" formatCode="_(&quot;$&quot;* #,##0_);_(&quot;$&quot;* \(#,##0\);_(&quot;$&quot;* &quot;-&quot;_);_(@_)"/>
    <numFmt numFmtId="41" formatCode="_(* #,##0_);_(* \(#,##0\);_(* &quot;-&quot;_);_(@_)"/>
    <numFmt numFmtId="177" formatCode="&quot;$&quot;#,##0;[Red]\-&quot;$&quot;#,##0"/>
    <numFmt numFmtId="179" formatCode="&quot;$&quot;#,##0.00;[Red]\-&quot;$&quot;#,##0.00"/>
    <numFmt numFmtId="180" formatCode="_-&quot;$&quot;* #,##0_-;\-&quot;$&quot;* #,##0_-;_-&quot;$&quot;* &quot;-&quot;_-;_-@_-"/>
    <numFmt numFmtId="181" formatCode="_-* #,##0_-;\-* #,##0_-;_-* &quot;-&quot;_-;_-@_-"/>
    <numFmt numFmtId="182" formatCode="_-&quot;$&quot;* #,##0.00_-;\-&quot;$&quot;* #,##0.00_-;_-&quot;$&quot;* &quot;-&quot;??_-;_-@_-"/>
    <numFmt numFmtId="183" formatCode="_-* #,##0.00_-;\-* #,##0.00_-;_-* &quot;-&quot;??_-;_-@_-"/>
    <numFmt numFmtId="184" formatCode="#,##0.0"/>
    <numFmt numFmtId="185" formatCode="#,##0.0_);[Red]\(#,##0.0\)"/>
    <numFmt numFmtId="186" formatCode="&quot;$&quot;#,##0"/>
    <numFmt numFmtId="187" formatCode="#,##0.000_);[Red]\(#,##0.000\)"/>
    <numFmt numFmtId="188" formatCode="_-* #,##0_-;\-* #,##0_-;_-* &quot;-&quot;??_-;_-@_-"/>
    <numFmt numFmtId="189" formatCode="_-* #,##0.0_-;\-* #,##0.0_-;_-* &quot;-&quot;??_-;_-@_-"/>
    <numFmt numFmtId="190" formatCode="#,##0.0;[Red]#,##0.0"/>
    <numFmt numFmtId="191" formatCode="_-* #,##0.000_-;\-* #,##0.000_-;_-* &quot;-&quot;??_-;_-@_-"/>
    <numFmt numFmtId="193" formatCode="0.0%"/>
    <numFmt numFmtId="194" formatCode="0.0000%"/>
    <numFmt numFmtId="195" formatCode="&quot;$&quot;#,##0\ ;\(&quot;$&quot;#,##0\)"/>
    <numFmt numFmtId="196" formatCode="0.00_)"/>
    <numFmt numFmtId="197" formatCode="0_ "/>
    <numFmt numFmtId="198" formatCode="0.00_);[Red]\(0.00\)"/>
    <numFmt numFmtId="200" formatCode="0.0"/>
  </numFmts>
  <fonts count="103">
    <font>
      <sz val="12"/>
      <color theme="1"/>
      <name val="新細明體"/>
      <family val="1"/>
      <charset val="136"/>
      <scheme val="minor"/>
    </font>
    <font>
      <sz val="12"/>
      <color indexed="8"/>
      <name val="Arial"/>
      <family val="2"/>
    </font>
    <font>
      <sz val="9"/>
      <name val="新細明體"/>
      <family val="1"/>
      <charset val="136"/>
    </font>
    <font>
      <sz val="11"/>
      <color indexed="8"/>
      <name val="新細明體"/>
      <family val="1"/>
      <charset val="136"/>
    </font>
    <font>
      <sz val="10"/>
      <color indexed="8"/>
      <name val="新細明體"/>
      <family val="1"/>
      <charset val="136"/>
    </font>
    <font>
      <b/>
      <sz val="18"/>
      <color indexed="8"/>
      <name val="新細明體"/>
      <family val="1"/>
      <charset val="136"/>
    </font>
    <font>
      <b/>
      <sz val="19"/>
      <color indexed="8"/>
      <name val="新細明體"/>
      <family val="1"/>
      <charset val="136"/>
    </font>
    <font>
      <b/>
      <sz val="11"/>
      <color indexed="8"/>
      <name val="新細明體"/>
      <family val="1"/>
      <charset val="136"/>
    </font>
    <font>
      <sz val="11"/>
      <color indexed="8"/>
      <name val="新細明體"/>
      <family val="1"/>
      <charset val="136"/>
    </font>
    <font>
      <sz val="16"/>
      <name val="新細明體"/>
      <family val="1"/>
      <charset val="136"/>
    </font>
    <font>
      <sz val="16"/>
      <name val="細明體"/>
      <family val="1"/>
      <charset val="136"/>
    </font>
    <font>
      <sz val="14"/>
      <color indexed="8"/>
      <name val="新細明體"/>
      <family val="1"/>
      <charset val="136"/>
    </font>
    <font>
      <sz val="14"/>
      <color indexed="8"/>
      <name val="Arial"/>
      <family val="2"/>
    </font>
    <font>
      <sz val="12"/>
      <name val="新細明體"/>
      <family val="1"/>
      <charset val="136"/>
    </font>
    <font>
      <sz val="11"/>
      <name val="新細明體"/>
      <family val="1"/>
      <charset val="136"/>
    </font>
    <font>
      <b/>
      <sz val="14"/>
      <color indexed="8"/>
      <name val="新細明體"/>
      <family val="1"/>
      <charset val="136"/>
    </font>
    <font>
      <b/>
      <sz val="14"/>
      <color indexed="8"/>
      <name val="Arial"/>
      <family val="2"/>
    </font>
    <font>
      <sz val="14"/>
      <color indexed="8"/>
      <name val="細明體"/>
      <family val="1"/>
      <charset val="136"/>
    </font>
    <font>
      <b/>
      <sz val="14"/>
      <color indexed="8"/>
      <name val="細明體"/>
      <family val="1"/>
      <charset val="136"/>
    </font>
    <font>
      <b/>
      <sz val="14"/>
      <name val="Arial"/>
      <family val="2"/>
    </font>
    <font>
      <b/>
      <sz val="14"/>
      <name val="新細明體"/>
      <family val="1"/>
      <charset val="136"/>
    </font>
    <font>
      <sz val="14"/>
      <name val="Arial"/>
      <family val="2"/>
    </font>
    <font>
      <sz val="14"/>
      <name val="細明體"/>
      <family val="1"/>
      <charset val="136"/>
    </font>
    <font>
      <sz val="14"/>
      <name val="新細明體"/>
      <family val="1"/>
      <charset val="136"/>
    </font>
    <font>
      <sz val="10"/>
      <name val="新細明體"/>
      <family val="1"/>
      <charset val="136"/>
    </font>
    <font>
      <sz val="10"/>
      <name val="Arial"/>
      <family val="2"/>
    </font>
    <font>
      <sz val="12"/>
      <name val="Arial"/>
      <family val="2"/>
    </font>
    <font>
      <sz val="12"/>
      <color indexed="8"/>
      <name val="新細明體"/>
      <family val="1"/>
      <charset val="136"/>
    </font>
    <font>
      <sz val="12"/>
      <name val="Times New Roman"/>
      <family val="1"/>
    </font>
    <font>
      <sz val="10"/>
      <name val="Helv"/>
    </font>
    <font>
      <u/>
      <sz val="12"/>
      <color indexed="12"/>
      <name val="·s²Ó©úÅé"/>
      <family val="3"/>
      <charset val="136"/>
    </font>
    <font>
      <sz val="11"/>
      <color indexed="9"/>
      <name val="新細明體"/>
      <family val="1"/>
      <charset val="136"/>
    </font>
    <font>
      <sz val="11"/>
      <color indexed="20"/>
      <name val="新細明體"/>
      <family val="1"/>
      <charset val="136"/>
    </font>
    <font>
      <b/>
      <sz val="8.3000000000000007"/>
      <name val="Helv"/>
    </font>
    <font>
      <b/>
      <sz val="11"/>
      <color indexed="52"/>
      <name val="新細明體"/>
      <family val="1"/>
      <charset val="136"/>
    </font>
    <font>
      <b/>
      <sz val="11"/>
      <color indexed="9"/>
      <name val="新細明體"/>
      <family val="1"/>
      <charset val="136"/>
    </font>
    <font>
      <sz val="10"/>
      <name val="MS Sans Serif"/>
    </font>
    <font>
      <i/>
      <sz val="11"/>
      <color indexed="23"/>
      <name val="新細明體"/>
      <family val="1"/>
      <charset val="136"/>
    </font>
    <font>
      <sz val="11"/>
      <color indexed="17"/>
      <name val="新細明體"/>
      <family val="1"/>
      <charset val="136"/>
    </font>
    <font>
      <sz val="8"/>
      <name val="Arial"/>
      <family val="2"/>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i/>
      <sz val="16"/>
      <name val="Helv"/>
    </font>
    <font>
      <b/>
      <sz val="11"/>
      <color indexed="63"/>
      <name val="新細明體"/>
      <family val="1"/>
      <charset val="136"/>
    </font>
    <font>
      <b/>
      <sz val="18"/>
      <color indexed="56"/>
      <name val="新細明體"/>
      <family val="1"/>
      <charset val="136"/>
    </font>
    <font>
      <sz val="11"/>
      <color indexed="10"/>
      <name val="新細明體"/>
      <family val="1"/>
      <charset val="136"/>
    </font>
    <font>
      <sz val="12"/>
      <name val="標楷體"/>
      <charset val="136"/>
    </font>
    <font>
      <sz val="10"/>
      <color indexed="12"/>
      <name val="Times New Roman"/>
      <family val="1"/>
    </font>
    <font>
      <sz val="12"/>
      <name val="Courier"/>
    </font>
    <font>
      <sz val="12"/>
      <color indexed="17"/>
      <name val="新細明體"/>
      <family val="1"/>
      <charset val="136"/>
    </font>
    <font>
      <sz val="11"/>
      <name val="元易細明體"/>
      <charset val="136"/>
    </font>
    <font>
      <sz val="9"/>
      <name val="華康仿宋體"/>
      <charset val="136"/>
    </font>
    <font>
      <sz val="10"/>
      <color indexed="10"/>
      <name val="新細明體"/>
      <family val="1"/>
      <charset val="136"/>
    </font>
    <font>
      <sz val="12"/>
      <color indexed="20"/>
      <name val="新細明體"/>
      <family val="1"/>
      <charset val="136"/>
    </font>
    <font>
      <sz val="12"/>
      <name val="바탕체"/>
      <family val="1"/>
      <charset val="129"/>
    </font>
    <font>
      <sz val="10"/>
      <color indexed="8"/>
      <name val="Arial"/>
      <family val="2"/>
    </font>
    <font>
      <sz val="11"/>
      <name val="Arial"/>
      <family val="2"/>
    </font>
    <font>
      <sz val="14"/>
      <color indexed="8"/>
      <name val="Arial"/>
      <family val="2"/>
    </font>
    <font>
      <sz val="14"/>
      <color indexed="8"/>
      <name val="新細明體"/>
      <family val="1"/>
      <charset val="136"/>
    </font>
    <font>
      <sz val="14"/>
      <color indexed="8"/>
      <name val="細明體"/>
      <family val="1"/>
      <charset val="136"/>
    </font>
    <font>
      <b/>
      <sz val="12"/>
      <color indexed="10"/>
      <name val="細明體"/>
      <family val="1"/>
      <charset val="136"/>
    </font>
    <font>
      <b/>
      <sz val="12"/>
      <color indexed="10"/>
      <name val="Arial"/>
      <family val="2"/>
    </font>
    <font>
      <b/>
      <sz val="12"/>
      <color indexed="10"/>
      <name val="新細明體"/>
      <family val="1"/>
      <charset val="136"/>
    </font>
    <font>
      <sz val="12"/>
      <color theme="1"/>
      <name val="新細明體"/>
      <family val="1"/>
      <charset val="136"/>
      <scheme val="minor"/>
    </font>
    <font>
      <b/>
      <sz val="12"/>
      <color theme="1"/>
      <name val="新細明體"/>
      <family val="1"/>
      <charset val="136"/>
      <scheme val="minor"/>
    </font>
    <font>
      <sz val="12"/>
      <color rgb="FFFF0000"/>
      <name val="新細明體"/>
      <family val="1"/>
      <charset val="136"/>
      <scheme val="minor"/>
    </font>
    <font>
      <sz val="12"/>
      <color theme="1"/>
      <name val="Arial"/>
      <family val="2"/>
    </font>
    <font>
      <sz val="11"/>
      <color theme="1"/>
      <name val="新細明體"/>
      <family val="1"/>
      <charset val="136"/>
      <scheme val="minor"/>
    </font>
    <font>
      <sz val="9"/>
      <color theme="1"/>
      <name val="新細明體"/>
      <family val="1"/>
      <charset val="136"/>
      <scheme val="minor"/>
    </font>
    <font>
      <sz val="10"/>
      <color theme="1"/>
      <name val="新細明體"/>
      <family val="1"/>
      <charset val="136"/>
      <scheme val="minor"/>
    </font>
    <font>
      <sz val="14"/>
      <color theme="1"/>
      <name val="新細明體"/>
      <family val="1"/>
      <charset val="136"/>
      <scheme val="minor"/>
    </font>
    <font>
      <sz val="16"/>
      <color theme="1"/>
      <name val="新細明體"/>
      <family val="1"/>
      <charset val="136"/>
      <scheme val="minor"/>
    </font>
    <font>
      <sz val="14"/>
      <color theme="1"/>
      <name val="Arial"/>
      <family val="2"/>
    </font>
    <font>
      <sz val="10"/>
      <color rgb="FFFF0000"/>
      <name val="新細明體"/>
      <family val="1"/>
      <charset val="136"/>
    </font>
    <font>
      <b/>
      <sz val="14"/>
      <color theme="1"/>
      <name val="Arial"/>
      <family val="2"/>
    </font>
    <font>
      <sz val="14"/>
      <color theme="1"/>
      <name val="新細明體"/>
      <family val="1"/>
      <charset val="136"/>
    </font>
    <font>
      <sz val="14"/>
      <color theme="0" tint="-0.249977111117893"/>
      <name val="新細明體"/>
      <family val="1"/>
      <charset val="136"/>
      <scheme val="minor"/>
    </font>
    <font>
      <b/>
      <sz val="14"/>
      <color theme="0" tint="-0.249977111117893"/>
      <name val="Arial"/>
      <family val="2"/>
    </font>
    <font>
      <sz val="14"/>
      <color rgb="FFFF0000"/>
      <name val="Arial"/>
      <family val="2"/>
    </font>
    <font>
      <sz val="12"/>
      <color theme="1"/>
      <name val="新細明體"/>
      <family val="1"/>
      <charset val="136"/>
    </font>
    <font>
      <sz val="14"/>
      <color theme="1"/>
      <name val="細明體"/>
      <family val="1"/>
      <charset val="136"/>
    </font>
    <font>
      <b/>
      <sz val="14"/>
      <color theme="1"/>
      <name val="細明體"/>
      <family val="1"/>
      <charset val="136"/>
    </font>
    <font>
      <sz val="14"/>
      <color theme="0" tint="-0.249977111117893"/>
      <name val="Arial"/>
      <family val="2"/>
    </font>
    <font>
      <sz val="11"/>
      <color theme="1"/>
      <name val="新細明體"/>
      <family val="1"/>
      <charset val="136"/>
    </font>
    <font>
      <b/>
      <sz val="14"/>
      <color rgb="FFFF0000"/>
      <name val="Arial"/>
      <family val="2"/>
    </font>
    <font>
      <b/>
      <sz val="14"/>
      <color theme="1"/>
      <name val="新細明體"/>
      <family val="1"/>
      <charset val="136"/>
    </font>
    <font>
      <sz val="11"/>
      <color theme="1"/>
      <name val="Arial"/>
      <family val="2"/>
    </font>
    <font>
      <sz val="14"/>
      <color theme="0" tint="-0.499984740745262"/>
      <name val="Arial"/>
      <family val="2"/>
    </font>
    <font>
      <b/>
      <sz val="10"/>
      <color theme="1"/>
      <name val="Arial"/>
      <family val="2"/>
    </font>
    <font>
      <sz val="9"/>
      <color theme="1"/>
      <name val="細明體"/>
      <family val="1"/>
      <charset val="136"/>
    </font>
    <font>
      <sz val="10"/>
      <color theme="1"/>
      <name val="Arial"/>
      <family val="2"/>
    </font>
    <font>
      <sz val="10"/>
      <color theme="1"/>
      <name val="細明體"/>
      <family val="1"/>
      <charset val="136"/>
    </font>
    <font>
      <sz val="9"/>
      <color theme="1"/>
      <name val="新細明體"/>
      <family val="1"/>
      <charset val="136"/>
    </font>
    <font>
      <sz val="9"/>
      <color rgb="FFFF0000"/>
      <name val="新細明體"/>
      <family val="1"/>
      <charset val="136"/>
      <scheme val="minor"/>
    </font>
    <font>
      <b/>
      <sz val="12"/>
      <color rgb="FFFF0000"/>
      <name val="細明體"/>
      <family val="1"/>
      <charset val="136"/>
    </font>
    <font>
      <b/>
      <sz val="12"/>
      <color theme="1"/>
      <name val="Arial"/>
      <family val="2"/>
    </font>
    <font>
      <b/>
      <sz val="12"/>
      <color rgb="FFFF0000"/>
      <name val="Arial"/>
      <family val="2"/>
    </font>
    <font>
      <sz val="12"/>
      <color theme="0" tint="-0.499984740745262"/>
      <name val="Arial"/>
      <family val="2"/>
    </font>
    <font>
      <b/>
      <sz val="18"/>
      <color theme="1"/>
      <name val="新細明體"/>
      <family val="1"/>
      <charset val="136"/>
      <scheme val="minor"/>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gray0625">
        <fgColor indexed="12"/>
        <bgColor indexed="9"/>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0"/>
        <bgColor indexed="64"/>
      </patternFill>
    </fill>
  </fills>
  <borders count="39">
    <border>
      <start/>
      <end/>
      <top/>
      <bottom/>
      <diagonal/>
    </border>
    <border>
      <start style="medium">
        <color indexed="12"/>
      </start>
      <end style="medium">
        <color indexed="12"/>
      </end>
      <top style="medium">
        <color indexed="12"/>
      </top>
      <bottom style="medium">
        <color indexed="12"/>
      </bottom>
      <diagonal/>
    </border>
    <border>
      <start style="thin">
        <color indexed="23"/>
      </start>
      <end style="thin">
        <color indexed="23"/>
      </end>
      <top style="thin">
        <color indexed="23"/>
      </top>
      <bottom style="thin">
        <color indexed="23"/>
      </bottom>
      <diagonal/>
    </border>
    <border>
      <start style="double">
        <color indexed="63"/>
      </start>
      <end style="double">
        <color indexed="63"/>
      </end>
      <top style="double">
        <color indexed="63"/>
      </top>
      <bottom style="double">
        <color indexed="63"/>
      </bottom>
      <diagonal/>
    </border>
    <border>
      <start/>
      <end/>
      <top/>
      <bottom style="thick">
        <color indexed="62"/>
      </bottom>
      <diagonal/>
    </border>
    <border>
      <start/>
      <end/>
      <top/>
      <bottom style="thick">
        <color indexed="22"/>
      </bottom>
      <diagonal/>
    </border>
    <border>
      <start/>
      <end/>
      <top/>
      <bottom style="medium">
        <color indexed="30"/>
      </bottom>
      <diagonal/>
    </border>
    <border>
      <start style="thin">
        <color indexed="64"/>
      </start>
      <end style="thin">
        <color indexed="64"/>
      </end>
      <top style="thin">
        <color indexed="64"/>
      </top>
      <bottom style="thin">
        <color indexed="64"/>
      </bottom>
      <diagonal/>
    </border>
    <border>
      <start/>
      <end/>
      <top/>
      <bottom style="double">
        <color indexed="52"/>
      </bottom>
      <diagonal/>
    </border>
    <border>
      <start style="thin">
        <color indexed="22"/>
      </start>
      <end style="thin">
        <color indexed="22"/>
      </end>
      <top style="thin">
        <color indexed="22"/>
      </top>
      <bottom style="thin">
        <color indexed="22"/>
      </bottom>
      <diagonal/>
    </border>
    <border>
      <start style="thin">
        <color indexed="63"/>
      </start>
      <end style="thin">
        <color indexed="63"/>
      </end>
      <top style="thin">
        <color indexed="63"/>
      </top>
      <bottom style="thin">
        <color indexed="63"/>
      </bottom>
      <diagonal/>
    </border>
    <border>
      <start/>
      <end/>
      <top style="thin">
        <color indexed="62"/>
      </top>
      <bottom style="double">
        <color indexed="62"/>
      </bottom>
      <diagonal/>
    </border>
    <border>
      <start style="hair">
        <color indexed="64"/>
      </start>
      <end style="hair">
        <color indexed="64"/>
      </end>
      <top style="hair">
        <color indexed="64"/>
      </top>
      <bottom style="hair">
        <color indexed="64"/>
      </bottom>
      <diagonal/>
    </border>
    <border>
      <start/>
      <end/>
      <top style="thin">
        <color indexed="64"/>
      </top>
      <bottom style="thin">
        <color indexed="64"/>
      </bottom>
      <diagonal/>
    </border>
    <border>
      <start style="thin">
        <color indexed="64"/>
      </start>
      <end/>
      <top style="thin">
        <color indexed="64"/>
      </top>
      <bottom style="thin">
        <color indexed="64"/>
      </bottom>
      <diagonal/>
    </border>
    <border>
      <start/>
      <end style="medium">
        <color indexed="64"/>
      </end>
      <top style="thin">
        <color indexed="64"/>
      </top>
      <bottom style="thin">
        <color indexed="64"/>
      </bottom>
      <diagonal/>
    </border>
    <border>
      <start style="medium">
        <color indexed="64"/>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style="thin">
        <color indexed="64"/>
      </end>
      <top/>
      <bottom style="thin">
        <color indexed="64"/>
      </bottom>
      <diagonal/>
    </border>
    <border>
      <start style="medium">
        <color indexed="64"/>
      </start>
      <end style="thin">
        <color indexed="64"/>
      </end>
      <top/>
      <bottom style="thin">
        <color indexed="64"/>
      </bottom>
      <diagonal/>
    </border>
    <border>
      <start style="medium">
        <color indexed="64"/>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medium">
        <color indexed="64"/>
      </start>
      <end/>
      <top style="thin">
        <color indexed="64"/>
      </top>
      <bottom style="thin">
        <color indexed="64"/>
      </bottom>
      <diagonal/>
    </border>
    <border>
      <start style="thin">
        <color indexed="64"/>
      </start>
      <end/>
      <top style="thin">
        <color indexed="64"/>
      </top>
      <bottom style="medium">
        <color indexed="64"/>
      </bottom>
      <diagonal/>
    </border>
    <border>
      <start/>
      <end/>
      <top style="thin">
        <color indexed="64"/>
      </top>
      <bottom style="medium">
        <color indexed="64"/>
      </bottom>
      <diagonal/>
    </border>
    <border>
      <start/>
      <end style="thin">
        <color indexed="64"/>
      </end>
      <top style="thin">
        <color indexed="64"/>
      </top>
      <bottom style="medium">
        <color indexed="64"/>
      </bottom>
      <diagonal/>
    </border>
    <border>
      <start/>
      <end/>
      <top style="medium">
        <color indexed="64"/>
      </top>
      <bottom/>
      <diagonal/>
    </border>
    <border>
      <start/>
      <end/>
      <top/>
      <bottom style="medium">
        <color indexed="64"/>
      </bottom>
      <diagonal/>
    </border>
    <border>
      <start style="medium">
        <color indexed="64"/>
      </start>
      <end/>
      <top style="medium">
        <color indexed="64"/>
      </top>
      <bottom style="thin">
        <color indexed="64"/>
      </bottom>
      <diagonal/>
    </border>
    <border>
      <start/>
      <end/>
      <top style="medium">
        <color indexed="64"/>
      </top>
      <bottom style="thin">
        <color indexed="64"/>
      </bottom>
      <diagonal/>
    </border>
    <border>
      <start/>
      <end style="thin">
        <color indexed="64"/>
      </end>
      <top style="medium">
        <color indexed="64"/>
      </top>
      <bottom style="thin">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s>
  <cellStyleXfs count="166">
    <xf numFmtId="0" fontId="0"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8" fillId="0" borderId="0"/>
    <xf numFmtId="0" fontId="30" fillId="0" borderId="0" applyNumberFormat="0" applyFill="0" applyBorder="0" applyAlignment="0" applyProtection="0">
      <alignment vertical="top"/>
      <protection locked="0"/>
    </xf>
    <xf numFmtId="0" fontId="13" fillId="0" borderId="0"/>
    <xf numFmtId="0" fontId="13" fillId="0" borderId="0"/>
    <xf numFmtId="0" fontId="13"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31" fillId="12"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9" borderId="0" applyNumberFormat="0" applyBorder="0" applyAlignment="0" applyProtection="0">
      <alignment vertical="center"/>
    </xf>
    <xf numFmtId="0" fontId="32" fillId="3" borderId="0" applyNumberFormat="0" applyBorder="0" applyAlignment="0" applyProtection="0">
      <alignment vertical="center"/>
    </xf>
    <xf numFmtId="0" fontId="33" fillId="20" borderId="1" applyNumberFormat="0" applyAlignment="0"/>
    <xf numFmtId="0" fontId="34" fillId="21" borderId="2" applyNumberFormat="0" applyAlignment="0" applyProtection="0">
      <alignment vertical="center"/>
    </xf>
    <xf numFmtId="0" fontId="35" fillId="22" borderId="3" applyNumberFormat="0" applyAlignment="0" applyProtection="0">
      <alignment vertical="center"/>
    </xf>
    <xf numFmtId="3" fontId="25" fillId="0" borderId="0" applyFont="0" applyFill="0" applyBorder="0" applyAlignment="0" applyProtection="0"/>
    <xf numFmtId="177" fontId="36" fillId="0" borderId="0" applyFont="0" applyFill="0" applyBorder="0" applyAlignment="0" applyProtection="0"/>
    <xf numFmtId="179" fontId="36" fillId="0" borderId="0" applyFont="0" applyFill="0" applyBorder="0" applyAlignment="0" applyProtection="0"/>
    <xf numFmtId="195" fontId="25" fillId="0" borderId="0" applyFont="0" applyFill="0" applyBorder="0" applyAlignment="0" applyProtection="0"/>
    <xf numFmtId="0" fontId="25" fillId="0" borderId="0" applyFont="0" applyFill="0" applyBorder="0" applyAlignment="0" applyProtection="0"/>
    <xf numFmtId="0" fontId="37" fillId="0" borderId="0" applyNumberFormat="0" applyFill="0" applyBorder="0" applyAlignment="0" applyProtection="0">
      <alignment vertical="center"/>
    </xf>
    <xf numFmtId="2" fontId="25" fillId="0" borderId="0" applyFont="0" applyFill="0" applyBorder="0" applyAlignment="0" applyProtection="0"/>
    <xf numFmtId="0" fontId="38" fillId="4" borderId="0" applyNumberFormat="0" applyBorder="0" applyAlignment="0" applyProtection="0">
      <alignment vertical="center"/>
    </xf>
    <xf numFmtId="38" fontId="39" fillId="23" borderId="0" applyNumberFormat="0" applyBorder="0" applyAlignment="0" applyProtection="0"/>
    <xf numFmtId="0" fontId="40" fillId="0" borderId="4" applyNumberFormat="0" applyFill="0" applyAlignment="0" applyProtection="0">
      <alignment vertical="center"/>
    </xf>
    <xf numFmtId="0" fontId="41" fillId="0" borderId="5" applyNumberFormat="0" applyFill="0" applyAlignment="0" applyProtection="0">
      <alignment vertical="center"/>
    </xf>
    <xf numFmtId="0" fontId="42" fillId="0" borderId="6" applyNumberFormat="0" applyFill="0" applyAlignment="0" applyProtection="0">
      <alignment vertical="center"/>
    </xf>
    <xf numFmtId="0" fontId="42" fillId="0" borderId="0" applyNumberFormat="0" applyFill="0" applyBorder="0" applyAlignment="0" applyProtection="0">
      <alignment vertical="center"/>
    </xf>
    <xf numFmtId="0" fontId="43" fillId="7" borderId="2" applyNumberFormat="0" applyAlignment="0" applyProtection="0">
      <alignment vertical="center"/>
    </xf>
    <xf numFmtId="10" fontId="39" fillId="24" borderId="7" applyNumberFormat="0" applyBorder="0" applyAlignment="0" applyProtection="0"/>
    <xf numFmtId="0" fontId="44" fillId="0" borderId="8" applyNumberFormat="0" applyFill="0" applyAlignment="0" applyProtection="0">
      <alignment vertical="center"/>
    </xf>
    <xf numFmtId="0" fontId="45" fillId="25" borderId="0" applyNumberFormat="0" applyBorder="0" applyAlignment="0" applyProtection="0">
      <alignment vertical="center"/>
    </xf>
    <xf numFmtId="196" fontId="46" fillId="0" borderId="0"/>
    <xf numFmtId="0" fontId="25" fillId="0" borderId="0"/>
    <xf numFmtId="0" fontId="13" fillId="26" borderId="9" applyNumberFormat="0" applyFont="0" applyAlignment="0" applyProtection="0">
      <alignment vertical="center"/>
    </xf>
    <xf numFmtId="0" fontId="47" fillId="21" borderId="10" applyNumberFormat="0" applyAlignment="0" applyProtection="0">
      <alignment vertical="center"/>
    </xf>
    <xf numFmtId="10" fontId="25" fillId="0" borderId="0" applyFont="0" applyFill="0" applyBorder="0" applyAlignment="0" applyProtection="0"/>
    <xf numFmtId="10" fontId="25" fillId="0" borderId="0" applyFont="0" applyFill="0" applyBorder="0" applyAlignment="0" applyProtection="0"/>
    <xf numFmtId="0" fontId="48" fillId="0" borderId="0" applyNumberFormat="0" applyFill="0" applyBorder="0" applyAlignment="0" applyProtection="0">
      <alignment vertical="center"/>
    </xf>
    <xf numFmtId="0" fontId="7" fillId="0" borderId="11" applyNumberFormat="0" applyFill="0" applyAlignment="0" applyProtection="0">
      <alignment vertical="center"/>
    </xf>
    <xf numFmtId="0" fontId="49" fillId="0" borderId="0" applyNumberFormat="0" applyFill="0" applyBorder="0" applyAlignment="0" applyProtection="0">
      <alignment vertical="center"/>
    </xf>
    <xf numFmtId="0" fontId="13" fillId="0" borderId="0"/>
    <xf numFmtId="0" fontId="13" fillId="0" borderId="0"/>
    <xf numFmtId="0" fontId="25" fillId="0" borderId="0"/>
    <xf numFmtId="0" fontId="67" fillId="0" borderId="0">
      <alignment vertical="center"/>
    </xf>
    <xf numFmtId="0" fontId="13" fillId="0" borderId="0"/>
    <xf numFmtId="0" fontId="13" fillId="0" borderId="0"/>
    <xf numFmtId="0" fontId="13" fillId="0" borderId="0"/>
    <xf numFmtId="0" fontId="13" fillId="0" borderId="0"/>
    <xf numFmtId="0" fontId="50" fillId="0" borderId="0">
      <alignment vertical="center"/>
    </xf>
    <xf numFmtId="0" fontId="13" fillId="0" borderId="0"/>
    <xf numFmtId="0" fontId="13" fillId="0" borderId="0"/>
    <xf numFmtId="0" fontId="13" fillId="0" borderId="0"/>
    <xf numFmtId="0" fontId="67" fillId="0" borderId="0"/>
    <xf numFmtId="0" fontId="67" fillId="0" borderId="0">
      <alignment vertical="center"/>
    </xf>
    <xf numFmtId="0" fontId="67" fillId="0" borderId="0">
      <alignment vertical="center"/>
    </xf>
    <xf numFmtId="0" fontId="13" fillId="0" borderId="0"/>
    <xf numFmtId="0" fontId="67" fillId="0" borderId="0"/>
    <xf numFmtId="0" fontId="67" fillId="0" borderId="0">
      <alignment vertical="center"/>
    </xf>
    <xf numFmtId="0" fontId="67" fillId="0" borderId="0">
      <alignment vertical="center"/>
    </xf>
    <xf numFmtId="0" fontId="67" fillId="0" borderId="0"/>
    <xf numFmtId="0" fontId="13" fillId="0" borderId="0">
      <alignment vertical="center"/>
    </xf>
    <xf numFmtId="0" fontId="67" fillId="0" borderId="0">
      <alignment vertical="center"/>
    </xf>
    <xf numFmtId="0" fontId="28" fillId="0" borderId="0"/>
    <xf numFmtId="0" fontId="27" fillId="0" borderId="0">
      <alignment vertical="center"/>
    </xf>
    <xf numFmtId="0" fontId="67" fillId="0" borderId="0">
      <alignment vertical="center"/>
    </xf>
    <xf numFmtId="0" fontId="67" fillId="0" borderId="0">
      <alignment vertical="center"/>
    </xf>
    <xf numFmtId="0" fontId="13"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3" fillId="0" borderId="0"/>
    <xf numFmtId="183" fontId="13" fillId="0" borderId="0" applyFont="0" applyFill="0" applyBorder="0" applyAlignment="0" applyProtection="0">
      <alignment vertical="center"/>
    </xf>
    <xf numFmtId="183" fontId="13" fillId="0" borderId="0" applyFont="0" applyFill="0" applyBorder="0" applyAlignment="0" applyProtection="0"/>
    <xf numFmtId="183" fontId="13" fillId="0" borderId="0" applyFont="0" applyFill="0" applyBorder="0" applyAlignment="0" applyProtection="0">
      <alignment vertical="center"/>
    </xf>
    <xf numFmtId="183" fontId="67" fillId="0" borderId="0" applyFont="0" applyFill="0" applyBorder="0" applyAlignment="0" applyProtection="0">
      <alignment vertical="center"/>
    </xf>
    <xf numFmtId="181" fontId="50" fillId="0" borderId="0" applyFill="0" applyBorder="0" applyProtection="0">
      <alignment vertical="center"/>
    </xf>
    <xf numFmtId="183" fontId="27" fillId="0" borderId="0" applyFont="0" applyFill="0" applyBorder="0" applyAlignment="0" applyProtection="0">
      <alignment vertical="center"/>
    </xf>
    <xf numFmtId="183" fontId="67" fillId="0" borderId="0" applyFont="0" applyFill="0" applyBorder="0" applyAlignment="0" applyProtection="0">
      <alignment vertical="center"/>
    </xf>
    <xf numFmtId="183" fontId="13"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67" fillId="0" borderId="0" applyFont="0" applyFill="0" applyBorder="0" applyAlignment="0" applyProtection="0">
      <alignment vertical="center"/>
    </xf>
    <xf numFmtId="183" fontId="13" fillId="0" borderId="0" applyFont="0" applyFill="0" applyBorder="0" applyAlignment="0" applyProtection="0"/>
    <xf numFmtId="181" fontId="13" fillId="0" borderId="0" applyFont="0" applyFill="0" applyBorder="0" applyAlignment="0" applyProtection="0"/>
    <xf numFmtId="41" fontId="28" fillId="0" borderId="0" applyFont="0" applyFill="0" applyBorder="0" applyAlignment="0" applyProtection="0"/>
    <xf numFmtId="0" fontId="51" fillId="0" borderId="0" applyNumberFormat="0" applyFont="0" applyAlignment="0">
      <alignment vertical="center" wrapText="1"/>
    </xf>
    <xf numFmtId="49" fontId="24" fillId="0" borderId="7">
      <alignment vertical="center"/>
    </xf>
    <xf numFmtId="0" fontId="52" fillId="0" borderId="0"/>
    <xf numFmtId="0" fontId="53" fillId="6" borderId="0" applyNumberFormat="0" applyBorder="0" applyAlignment="0" applyProtection="0">
      <alignment vertical="center"/>
    </xf>
    <xf numFmtId="0" fontId="53" fillId="4" borderId="0" applyNumberFormat="0" applyBorder="0" applyAlignment="0" applyProtection="0">
      <alignment vertical="center"/>
    </xf>
    <xf numFmtId="0" fontId="53" fillId="4" borderId="0" applyNumberFormat="0" applyBorder="0" applyAlignment="0" applyProtection="0">
      <alignment vertical="center"/>
    </xf>
    <xf numFmtId="0" fontId="54" fillId="0" borderId="12" applyAlignment="0">
      <alignment horizontal="center" vertical="center" wrapText="1"/>
    </xf>
    <xf numFmtId="9" fontId="13" fillId="0" borderId="0" applyFont="0" applyFill="0" applyBorder="0" applyAlignment="0" applyProtection="0">
      <alignment vertical="center"/>
    </xf>
    <xf numFmtId="9" fontId="67" fillId="0" borderId="0" applyFont="0" applyFill="0" applyBorder="0" applyAlignment="0" applyProtection="0">
      <alignment vertical="center"/>
    </xf>
    <xf numFmtId="9" fontId="67" fillId="0" borderId="0" applyFont="0" applyFill="0" applyBorder="0" applyAlignment="0" applyProtection="0">
      <alignment vertical="center"/>
    </xf>
    <xf numFmtId="9" fontId="67" fillId="0" borderId="0" applyFont="0" applyFill="0" applyBorder="0" applyAlignment="0" applyProtection="0">
      <alignment vertical="center"/>
    </xf>
    <xf numFmtId="9" fontId="67" fillId="0" borderId="0" applyFont="0" applyFill="0" applyBorder="0" applyAlignment="0" applyProtection="0">
      <alignment vertical="center"/>
    </xf>
    <xf numFmtId="9" fontId="67" fillId="0" borderId="0" applyFont="0" applyFill="0" applyBorder="0" applyAlignment="0" applyProtection="0">
      <alignment vertical="center"/>
    </xf>
    <xf numFmtId="9" fontId="67" fillId="0" borderId="0" applyFont="0" applyFill="0" applyBorder="0" applyAlignment="0" applyProtection="0">
      <alignment vertical="center"/>
    </xf>
    <xf numFmtId="3" fontId="24" fillId="0" borderId="7">
      <alignment vertical="center"/>
    </xf>
    <xf numFmtId="0" fontId="55" fillId="0" borderId="7">
      <alignment vertical="center" wrapText="1"/>
    </xf>
    <xf numFmtId="0" fontId="13" fillId="0" borderId="0"/>
    <xf numFmtId="180" fontId="13" fillId="0" borderId="0" applyFont="0" applyFill="0" applyBorder="0" applyAlignment="0" applyProtection="0"/>
    <xf numFmtId="42" fontId="28" fillId="0" borderId="0" applyFont="0" applyFill="0" applyBorder="0" applyAlignment="0" applyProtection="0"/>
    <xf numFmtId="182" fontId="13" fillId="0" borderId="0" applyFont="0" applyFill="0" applyBorder="0" applyAlignment="0" applyProtection="0">
      <alignment vertical="center"/>
    </xf>
    <xf numFmtId="42" fontId="28" fillId="0" borderId="0" applyFont="0" applyFill="0" applyBorder="0" applyAlignment="0" applyProtection="0"/>
    <xf numFmtId="49" fontId="24" fillId="0" borderId="7">
      <alignment horizontal="center" vertical="center"/>
    </xf>
    <xf numFmtId="197" fontId="24" fillId="0" borderId="7">
      <alignment horizontal="center" vertical="center"/>
    </xf>
    <xf numFmtId="197" fontId="24" fillId="0" borderId="7">
      <alignment vertical="center"/>
    </xf>
    <xf numFmtId="0" fontId="29" fillId="0" borderId="0"/>
    <xf numFmtId="198" fontId="56" fillId="0" borderId="7">
      <alignment horizontal="left" vertical="distributed" indent="2"/>
    </xf>
    <xf numFmtId="0" fontId="57" fillId="5" borderId="0" applyNumberFormat="0" applyBorder="0" applyAlignment="0" applyProtection="0">
      <alignment vertical="center"/>
    </xf>
    <xf numFmtId="0" fontId="57" fillId="3" borderId="0" applyNumberFormat="0" applyBorder="0" applyAlignment="0" applyProtection="0">
      <alignment vertical="center"/>
    </xf>
    <xf numFmtId="0" fontId="57" fillId="3" borderId="0" applyNumberFormat="0" applyBorder="0" applyAlignment="0" applyProtection="0">
      <alignment vertical="center"/>
    </xf>
    <xf numFmtId="0" fontId="58" fillId="0" borderId="0" applyFont="0" applyFill="0" applyBorder="0" applyAlignment="0" applyProtection="0"/>
  </cellStyleXfs>
  <cellXfs count="244">
    <xf numFmtId="0" fontId="0" fillId="0" borderId="0" xfId="0">
      <alignment vertical="center"/>
    </xf>
    <xf numFmtId="0" fontId="70" fillId="0" borderId="0" xfId="74" applyFont="1" applyAlignment="1">
      <alignment horizontal="center" vertical="center"/>
    </xf>
    <xf numFmtId="0" fontId="70" fillId="0" borderId="0" xfId="74" applyFont="1">
      <alignment vertical="center"/>
    </xf>
    <xf numFmtId="6" fontId="70" fillId="0" borderId="0" xfId="74" applyNumberFormat="1" applyFont="1" applyAlignment="1">
      <alignment horizontal="center" vertical="center"/>
    </xf>
    <xf numFmtId="0" fontId="67" fillId="0" borderId="0" xfId="74" applyAlignment="1">
      <alignment horizontal="center" vertical="center"/>
    </xf>
    <xf numFmtId="184" fontId="67" fillId="0" borderId="0" xfId="74" applyNumberFormat="1" applyAlignment="1">
      <alignment horizontal="center" vertical="center"/>
    </xf>
    <xf numFmtId="0" fontId="71" fillId="0" borderId="0" xfId="74" applyFont="1">
      <alignment vertical="center"/>
    </xf>
    <xf numFmtId="0" fontId="67" fillId="0" borderId="0" xfId="74">
      <alignment vertical="center"/>
    </xf>
    <xf numFmtId="0" fontId="72" fillId="0" borderId="0" xfId="74" applyFont="1">
      <alignment vertical="center"/>
    </xf>
    <xf numFmtId="38" fontId="67" fillId="0" borderId="0" xfId="74" applyNumberFormat="1">
      <alignment vertical="center"/>
    </xf>
    <xf numFmtId="0" fontId="73" fillId="0" borderId="0" xfId="74" applyFont="1" applyAlignment="1">
      <alignment vertical="center"/>
    </xf>
    <xf numFmtId="185" fontId="71" fillId="0" borderId="0" xfId="74" applyNumberFormat="1" applyFont="1">
      <alignment vertical="center"/>
    </xf>
    <xf numFmtId="9" fontId="69" fillId="0" borderId="0" xfId="74" applyNumberFormat="1" applyFont="1" applyAlignment="1">
      <alignment horizontal="center" vertical="center"/>
    </xf>
    <xf numFmtId="38" fontId="71" fillId="0" borderId="0" xfId="74" applyNumberFormat="1" applyFont="1">
      <alignment vertical="center"/>
    </xf>
    <xf numFmtId="38" fontId="72" fillId="0" borderId="0" xfId="74" applyNumberFormat="1" applyFont="1">
      <alignment vertical="center"/>
    </xf>
    <xf numFmtId="0" fontId="9" fillId="0" borderId="13" xfId="88" applyFont="1" applyBorder="1" applyAlignment="1">
      <alignment vertical="center"/>
    </xf>
    <xf numFmtId="187" fontId="71" fillId="0" borderId="0" xfId="74" applyNumberFormat="1" applyFont="1">
      <alignment vertical="center"/>
    </xf>
    <xf numFmtId="187" fontId="72" fillId="0" borderId="0" xfId="74" applyNumberFormat="1" applyFont="1">
      <alignment vertical="center"/>
    </xf>
    <xf numFmtId="0" fontId="10" fillId="0" borderId="14" xfId="88" applyFont="1" applyBorder="1" applyAlignment="1">
      <alignment vertical="center"/>
    </xf>
    <xf numFmtId="184" fontId="74" fillId="0" borderId="0" xfId="74" applyNumberFormat="1" applyFont="1" applyBorder="1">
      <alignment vertical="center"/>
    </xf>
    <xf numFmtId="184" fontId="75" fillId="0" borderId="15" xfId="74" applyNumberFormat="1" applyFont="1" applyBorder="1">
      <alignment vertical="center"/>
    </xf>
    <xf numFmtId="0" fontId="73" fillId="0" borderId="0" xfId="74" applyFont="1">
      <alignment vertical="center"/>
    </xf>
    <xf numFmtId="0" fontId="73" fillId="0" borderId="0" xfId="74" applyFont="1" applyBorder="1" applyAlignment="1">
      <alignment vertical="center"/>
    </xf>
    <xf numFmtId="0" fontId="76" fillId="0" borderId="16" xfId="74" applyFont="1" applyBorder="1" applyAlignment="1">
      <alignment horizontal="center" vertical="center"/>
    </xf>
    <xf numFmtId="0" fontId="76" fillId="0" borderId="7" xfId="74" applyFont="1" applyBorder="1" applyAlignment="1">
      <alignment horizontal="center" vertical="center"/>
    </xf>
    <xf numFmtId="0" fontId="74" fillId="0" borderId="7" xfId="74" applyFont="1" applyBorder="1" applyAlignment="1">
      <alignment horizontal="center" vertical="center"/>
    </xf>
    <xf numFmtId="184" fontId="74" fillId="0" borderId="7" xfId="74" applyNumberFormat="1" applyFont="1" applyBorder="1" applyAlignment="1">
      <alignment horizontal="center" vertical="center"/>
    </xf>
    <xf numFmtId="184" fontId="74" fillId="0" borderId="17" xfId="74" applyNumberFormat="1" applyFont="1" applyBorder="1" applyAlignment="1">
      <alignment horizontal="center" vertical="center"/>
    </xf>
    <xf numFmtId="0" fontId="71" fillId="0" borderId="0" xfId="108" applyFont="1" applyAlignment="1">
      <alignment horizontal="center" vertical="center"/>
    </xf>
    <xf numFmtId="0" fontId="77" fillId="0" borderId="0" xfId="108" applyFont="1" applyAlignment="1">
      <alignment horizontal="center" vertical="center"/>
    </xf>
    <xf numFmtId="188" fontId="14" fillId="0" borderId="0" xfId="116" applyNumberFormat="1" applyFont="1" applyAlignment="1">
      <alignment horizontal="center" vertical="center"/>
    </xf>
    <xf numFmtId="38" fontId="72" fillId="27" borderId="0" xfId="108" applyNumberFormat="1" applyFont="1" applyFill="1">
      <alignment vertical="center"/>
    </xf>
    <xf numFmtId="0" fontId="73" fillId="0" borderId="0" xfId="108" applyFont="1" applyAlignment="1">
      <alignment vertical="center"/>
    </xf>
    <xf numFmtId="0" fontId="78" fillId="0" borderId="16" xfId="74" applyFont="1" applyBorder="1" applyAlignment="1">
      <alignment horizontal="center" vertical="center"/>
    </xf>
    <xf numFmtId="38" fontId="76" fillId="0" borderId="13" xfId="74" applyNumberFormat="1" applyFont="1" applyBorder="1" applyAlignment="1">
      <alignment horizontal="right" vertical="center"/>
    </xf>
    <xf numFmtId="6" fontId="79" fillId="0" borderId="18" xfId="74" applyNumberFormat="1" applyFont="1" applyBorder="1" applyAlignment="1">
      <alignment horizontal="center" vertical="center"/>
    </xf>
    <xf numFmtId="184" fontId="80" fillId="0" borderId="7" xfId="74" applyNumberFormat="1" applyFont="1" applyBorder="1" applyAlignment="1">
      <alignment horizontal="center" vertical="center"/>
    </xf>
    <xf numFmtId="184" fontId="81" fillId="0" borderId="17" xfId="74" applyNumberFormat="1" applyFont="1" applyBorder="1" applyAlignment="1">
      <alignment horizontal="right" vertical="center"/>
    </xf>
    <xf numFmtId="0" fontId="78" fillId="0" borderId="14" xfId="74" applyFont="1" applyBorder="1" applyAlignment="1">
      <alignment horizontal="left" vertical="center"/>
    </xf>
    <xf numFmtId="189" fontId="78" fillId="0" borderId="7" xfId="74" applyNumberFormat="1" applyFont="1" applyBorder="1" applyAlignment="1">
      <alignment horizontal="center" vertical="center"/>
    </xf>
    <xf numFmtId="3" fontId="76" fillId="0" borderId="17" xfId="74" applyNumberFormat="1" applyFont="1" applyBorder="1" applyAlignment="1">
      <alignment horizontal="right" vertical="center"/>
    </xf>
    <xf numFmtId="0" fontId="76" fillId="0" borderId="14" xfId="74" applyFont="1" applyBorder="1">
      <alignment vertical="center"/>
    </xf>
    <xf numFmtId="0" fontId="82" fillId="0" borderId="18" xfId="108" applyFont="1" applyBorder="1" applyAlignment="1">
      <alignment horizontal="right" vertical="center"/>
    </xf>
    <xf numFmtId="188" fontId="76" fillId="0" borderId="7" xfId="120" applyNumberFormat="1" applyFont="1" applyBorder="1">
      <alignment vertical="center"/>
    </xf>
    <xf numFmtId="38" fontId="83" fillId="27" borderId="0" xfId="99" applyNumberFormat="1" applyFont="1" applyFill="1" applyAlignment="1">
      <alignment vertical="center"/>
    </xf>
    <xf numFmtId="0" fontId="67" fillId="0" borderId="0" xfId="74" applyBorder="1">
      <alignment vertical="center"/>
    </xf>
    <xf numFmtId="0" fontId="84" fillId="0" borderId="14" xfId="74" applyFont="1" applyBorder="1">
      <alignment vertical="center"/>
    </xf>
    <xf numFmtId="38" fontId="79" fillId="0" borderId="13" xfId="74" applyNumberFormat="1" applyFont="1" applyBorder="1" applyAlignment="1">
      <alignment horizontal="right" vertical="center"/>
    </xf>
    <xf numFmtId="6" fontId="79" fillId="0" borderId="18" xfId="74" applyNumberFormat="1" applyFont="1" applyBorder="1">
      <alignment vertical="center"/>
    </xf>
    <xf numFmtId="0" fontId="76" fillId="27" borderId="14" xfId="74" applyFont="1" applyFill="1" applyBorder="1">
      <alignment vertical="center"/>
    </xf>
    <xf numFmtId="38" fontId="76" fillId="27" borderId="13" xfId="74" applyNumberFormat="1" applyFont="1" applyFill="1" applyBorder="1" applyAlignment="1">
      <alignment horizontal="right" vertical="center"/>
    </xf>
    <xf numFmtId="6" fontId="79" fillId="27" borderId="18" xfId="74" applyNumberFormat="1" applyFont="1" applyFill="1" applyBorder="1">
      <alignment vertical="center"/>
    </xf>
    <xf numFmtId="0" fontId="76" fillId="27" borderId="7" xfId="74" applyFont="1" applyFill="1" applyBorder="1" applyAlignment="1">
      <alignment horizontal="center" vertical="center"/>
    </xf>
    <xf numFmtId="188" fontId="76" fillId="27" borderId="7" xfId="120" applyNumberFormat="1" applyFont="1" applyFill="1" applyBorder="1">
      <alignment vertical="center"/>
    </xf>
    <xf numFmtId="0" fontId="85" fillId="0" borderId="16" xfId="74" applyFont="1" applyBorder="1" applyAlignment="1">
      <alignment horizontal="center" vertical="center"/>
    </xf>
    <xf numFmtId="0" fontId="85" fillId="27" borderId="14" xfId="74" applyFont="1" applyFill="1" applyBorder="1">
      <alignment vertical="center"/>
    </xf>
    <xf numFmtId="184" fontId="86" fillId="27" borderId="7" xfId="74" applyNumberFormat="1" applyFont="1" applyFill="1" applyBorder="1">
      <alignment vertical="center"/>
    </xf>
    <xf numFmtId="3" fontId="76" fillId="27" borderId="17" xfId="74" applyNumberFormat="1" applyFont="1" applyFill="1" applyBorder="1">
      <alignment vertical="center"/>
    </xf>
    <xf numFmtId="0" fontId="76" fillId="27" borderId="16" xfId="74" applyFont="1" applyFill="1" applyBorder="1" applyAlignment="1">
      <alignment horizontal="center" vertical="center"/>
    </xf>
    <xf numFmtId="49" fontId="19" fillId="27" borderId="14" xfId="74" applyNumberFormat="1" applyFont="1" applyFill="1" applyBorder="1" applyAlignment="1">
      <alignment horizontal="left" vertical="center"/>
    </xf>
    <xf numFmtId="190" fontId="87" fillId="0" borderId="0" xfId="99" applyNumberFormat="1" applyFont="1" applyBorder="1" applyAlignment="1">
      <alignment vertical="center"/>
    </xf>
    <xf numFmtId="0" fontId="67" fillId="27" borderId="0" xfId="108" applyFont="1" applyFill="1" applyAlignment="1">
      <alignment vertical="center"/>
    </xf>
    <xf numFmtId="49" fontId="21" fillId="27" borderId="14" xfId="74" applyNumberFormat="1" applyFont="1" applyFill="1" applyBorder="1" applyAlignment="1">
      <alignment horizontal="left" vertical="center"/>
    </xf>
    <xf numFmtId="189" fontId="76" fillId="27" borderId="7" xfId="120" applyNumberFormat="1" applyFont="1" applyFill="1" applyBorder="1">
      <alignment vertical="center"/>
    </xf>
    <xf numFmtId="0" fontId="67" fillId="0" borderId="0" xfId="74" applyFont="1" applyBorder="1">
      <alignment vertical="center"/>
    </xf>
    <xf numFmtId="0" fontId="76" fillId="0" borderId="16" xfId="74" applyNumberFormat="1" applyFont="1" applyBorder="1" applyAlignment="1">
      <alignment horizontal="center" vertical="center"/>
    </xf>
    <xf numFmtId="0" fontId="76" fillId="27" borderId="14" xfId="74" applyFont="1" applyFill="1" applyBorder="1" applyAlignment="1">
      <alignment vertical="center"/>
    </xf>
    <xf numFmtId="0" fontId="78" fillId="27" borderId="13" xfId="99" applyFont="1" applyFill="1" applyBorder="1" applyAlignment="1">
      <alignment horizontal="center" vertical="center"/>
    </xf>
    <xf numFmtId="0" fontId="88" fillId="27" borderId="13" xfId="99" applyFont="1" applyFill="1" applyBorder="1" applyAlignment="1">
      <alignment horizontal="center" vertical="center"/>
    </xf>
    <xf numFmtId="49" fontId="21" fillId="0" borderId="14" xfId="74" applyNumberFormat="1" applyFont="1" applyFill="1" applyBorder="1" applyAlignment="1">
      <alignment horizontal="left" vertical="center"/>
    </xf>
    <xf numFmtId="0" fontId="76" fillId="0" borderId="16" xfId="74" applyNumberFormat="1" applyFont="1" applyFill="1" applyBorder="1" applyAlignment="1">
      <alignment horizontal="center" vertical="center"/>
    </xf>
    <xf numFmtId="0" fontId="78" fillId="0" borderId="13" xfId="99" applyFont="1" applyFill="1" applyBorder="1" applyAlignment="1">
      <alignment horizontal="center" vertical="center"/>
    </xf>
    <xf numFmtId="0" fontId="88" fillId="0" borderId="13" xfId="99" applyFont="1" applyFill="1" applyBorder="1" applyAlignment="1">
      <alignment horizontal="center" vertical="center"/>
    </xf>
    <xf numFmtId="6" fontId="79" fillId="0" borderId="18" xfId="74" applyNumberFormat="1" applyFont="1" applyFill="1" applyBorder="1">
      <alignment vertical="center"/>
    </xf>
    <xf numFmtId="0" fontId="76" fillId="0" borderId="7" xfId="74" applyFont="1" applyFill="1" applyBorder="1" applyAlignment="1">
      <alignment horizontal="center" vertical="center"/>
    </xf>
    <xf numFmtId="188" fontId="76" fillId="0" borderId="7" xfId="120" applyNumberFormat="1" applyFont="1" applyFill="1" applyBorder="1">
      <alignment vertical="center"/>
    </xf>
    <xf numFmtId="0" fontId="20" fillId="0" borderId="0" xfId="71" applyFont="1" applyAlignment="1">
      <alignment vertical="center"/>
    </xf>
    <xf numFmtId="0" fontId="76" fillId="0" borderId="19" xfId="74" applyFont="1" applyFill="1" applyBorder="1" applyAlignment="1">
      <alignment vertical="center"/>
    </xf>
    <xf numFmtId="0" fontId="88" fillId="27" borderId="20" xfId="99" applyFont="1" applyFill="1" applyBorder="1" applyAlignment="1">
      <alignment horizontal="center" vertical="center"/>
    </xf>
    <xf numFmtId="6" fontId="79" fillId="0" borderId="21" xfId="74" applyNumberFormat="1" applyFont="1" applyBorder="1">
      <alignment vertical="center"/>
    </xf>
    <xf numFmtId="6" fontId="84" fillId="27" borderId="20" xfId="74" applyNumberFormat="1" applyFont="1" applyFill="1" applyBorder="1">
      <alignment vertical="center"/>
    </xf>
    <xf numFmtId="0" fontId="76" fillId="0" borderId="22" xfId="74" applyFont="1" applyBorder="1" applyAlignment="1">
      <alignment horizontal="center" vertical="center"/>
    </xf>
    <xf numFmtId="188" fontId="13" fillId="0" borderId="0" xfId="71" applyNumberFormat="1" applyFont="1" applyAlignment="1">
      <alignment vertical="center"/>
    </xf>
    <xf numFmtId="38" fontId="78" fillId="27" borderId="13" xfId="74" applyNumberFormat="1" applyFont="1" applyFill="1" applyBorder="1" applyAlignment="1">
      <alignment horizontal="right" vertical="center"/>
    </xf>
    <xf numFmtId="6" fontId="89" fillId="27" borderId="18" xfId="74" applyNumberFormat="1" applyFont="1" applyFill="1" applyBorder="1">
      <alignment vertical="center"/>
    </xf>
    <xf numFmtId="188" fontId="76" fillId="27" borderId="18" xfId="120" applyNumberFormat="1" applyFont="1" applyFill="1" applyBorder="1">
      <alignment vertical="center"/>
    </xf>
    <xf numFmtId="0" fontId="76" fillId="0" borderId="23" xfId="74" applyNumberFormat="1" applyFont="1" applyBorder="1" applyAlignment="1">
      <alignment horizontal="center" vertical="center"/>
    </xf>
    <xf numFmtId="0" fontId="78" fillId="27" borderId="20" xfId="99" applyFont="1" applyFill="1" applyBorder="1" applyAlignment="1">
      <alignment horizontal="center" vertical="center"/>
    </xf>
    <xf numFmtId="6" fontId="79" fillId="0" borderId="20" xfId="74" applyNumberFormat="1" applyFont="1" applyBorder="1">
      <alignment vertical="center"/>
    </xf>
    <xf numFmtId="184" fontId="76" fillId="27" borderId="17" xfId="74" applyNumberFormat="1" applyFont="1" applyFill="1" applyBorder="1">
      <alignment vertical="center"/>
    </xf>
    <xf numFmtId="0" fontId="78" fillId="27" borderId="14" xfId="74" applyFont="1" applyFill="1" applyBorder="1" applyAlignment="1">
      <alignment vertical="center"/>
    </xf>
    <xf numFmtId="38" fontId="74" fillId="27" borderId="20" xfId="74" applyNumberFormat="1" applyFont="1" applyFill="1" applyBorder="1" applyAlignment="1">
      <alignment horizontal="right" vertical="center"/>
    </xf>
    <xf numFmtId="0" fontId="88" fillId="27" borderId="13" xfId="108" applyFont="1" applyFill="1" applyBorder="1" applyAlignment="1">
      <alignment horizontal="center" vertical="center"/>
    </xf>
    <xf numFmtId="188" fontId="76" fillId="0" borderId="7" xfId="116" applyNumberFormat="1" applyFont="1" applyBorder="1" applyAlignment="1">
      <alignment vertical="center"/>
    </xf>
    <xf numFmtId="6" fontId="76" fillId="27" borderId="17" xfId="74" applyNumberFormat="1" applyFont="1" applyFill="1" applyBorder="1">
      <alignment vertical="center"/>
    </xf>
    <xf numFmtId="185" fontId="90" fillId="0" borderId="0" xfId="74" applyNumberFormat="1" applyFont="1">
      <alignment vertical="center"/>
    </xf>
    <xf numFmtId="188" fontId="24" fillId="0" borderId="0" xfId="71" applyNumberFormat="1" applyFont="1" applyAlignment="1">
      <alignment vertical="center"/>
    </xf>
    <xf numFmtId="0" fontId="70" fillId="0" borderId="20" xfId="74" applyFont="1" applyBorder="1">
      <alignment vertical="center"/>
    </xf>
    <xf numFmtId="184" fontId="91" fillId="0" borderId="15" xfId="116" applyNumberFormat="1" applyFont="1" applyBorder="1" applyAlignment="1">
      <alignment vertical="center"/>
    </xf>
    <xf numFmtId="190" fontId="13" fillId="0" borderId="0" xfId="71" applyNumberFormat="1" applyFont="1" applyAlignment="1">
      <alignment vertical="center"/>
    </xf>
    <xf numFmtId="49" fontId="26" fillId="0" borderId="13" xfId="74" applyNumberFormat="1" applyFont="1" applyBorder="1" applyAlignment="1">
      <alignment horizontal="left" vertical="center"/>
    </xf>
    <xf numFmtId="0" fontId="26" fillId="0" borderId="13" xfId="74" applyFont="1" applyBorder="1" applyAlignment="1">
      <alignment horizontal="center" vertical="center"/>
    </xf>
    <xf numFmtId="183" fontId="26" fillId="0" borderId="13" xfId="116" applyFont="1" applyFill="1" applyBorder="1" applyAlignment="1">
      <alignment horizontal="right" vertical="center"/>
    </xf>
    <xf numFmtId="184" fontId="76" fillId="27" borderId="15" xfId="74" applyNumberFormat="1" applyFont="1" applyFill="1" applyBorder="1">
      <alignment vertical="center"/>
    </xf>
    <xf numFmtId="184" fontId="91" fillId="27" borderId="15" xfId="74" applyNumberFormat="1" applyFont="1" applyFill="1" applyBorder="1">
      <alignment vertical="center"/>
    </xf>
    <xf numFmtId="190" fontId="83" fillId="0" borderId="0" xfId="108" applyNumberFormat="1" applyFont="1" applyBorder="1" applyAlignment="1">
      <alignment vertical="center"/>
    </xf>
    <xf numFmtId="0" fontId="78" fillId="27" borderId="16" xfId="108" applyFont="1" applyFill="1" applyBorder="1" applyAlignment="1">
      <alignment horizontal="center" vertical="center"/>
    </xf>
    <xf numFmtId="184" fontId="76" fillId="27" borderId="7" xfId="74" applyNumberFormat="1" applyFont="1" applyFill="1" applyBorder="1">
      <alignment vertical="center"/>
    </xf>
    <xf numFmtId="0" fontId="78" fillId="0" borderId="16" xfId="108" applyFont="1" applyBorder="1" applyAlignment="1">
      <alignment horizontal="center" vertical="center"/>
    </xf>
    <xf numFmtId="0" fontId="70" fillId="0" borderId="24" xfId="74" applyFont="1" applyBorder="1">
      <alignment vertical="center"/>
    </xf>
    <xf numFmtId="184" fontId="67" fillId="0" borderId="14" xfId="74" applyNumberFormat="1" applyBorder="1">
      <alignment vertical="center"/>
    </xf>
    <xf numFmtId="184" fontId="67" fillId="0" borderId="15" xfId="74" applyNumberFormat="1" applyBorder="1">
      <alignment vertical="center"/>
    </xf>
    <xf numFmtId="0" fontId="71" fillId="0" borderId="0" xfId="74" applyFont="1" applyBorder="1" applyAlignment="1">
      <alignment horizontal="left" vertical="center"/>
    </xf>
    <xf numFmtId="0" fontId="70" fillId="0" borderId="16" xfId="74" applyFont="1" applyBorder="1">
      <alignment vertical="center"/>
    </xf>
    <xf numFmtId="184" fontId="78" fillId="0" borderId="17" xfId="74" applyNumberFormat="1" applyFont="1" applyBorder="1">
      <alignment vertical="center"/>
    </xf>
    <xf numFmtId="3" fontId="78" fillId="0" borderId="17" xfId="74" applyNumberFormat="1" applyFont="1" applyBorder="1">
      <alignment vertical="center"/>
    </xf>
    <xf numFmtId="38" fontId="71" fillId="0" borderId="0" xfId="74" applyNumberFormat="1" applyFont="1" applyAlignment="1">
      <alignment horizontal="right" vertical="center"/>
    </xf>
    <xf numFmtId="184" fontId="84" fillId="0" borderId="7" xfId="74" applyNumberFormat="1" applyFont="1" applyBorder="1" applyAlignment="1">
      <alignment horizontal="center" vertical="center"/>
    </xf>
    <xf numFmtId="184" fontId="84" fillId="0" borderId="17" xfId="74" applyNumberFormat="1" applyFont="1" applyBorder="1" applyAlignment="1">
      <alignment horizontal="right" vertical="center"/>
    </xf>
    <xf numFmtId="0" fontId="78" fillId="0" borderId="25" xfId="108" applyFont="1" applyBorder="1" applyAlignment="1">
      <alignment horizontal="center" vertical="center"/>
    </xf>
    <xf numFmtId="184" fontId="84" fillId="0" borderId="26" xfId="74" applyNumberFormat="1" applyFont="1" applyBorder="1" applyAlignment="1">
      <alignment horizontal="center" vertical="center"/>
    </xf>
    <xf numFmtId="3" fontId="76" fillId="0" borderId="27" xfId="74" applyNumberFormat="1" applyFont="1" applyBorder="1">
      <alignment vertical="center"/>
    </xf>
    <xf numFmtId="193" fontId="71" fillId="0" borderId="0" xfId="145" applyNumberFormat="1" applyFont="1" applyAlignment="1">
      <alignment horizontal="right" vertical="center"/>
    </xf>
    <xf numFmtId="184" fontId="67" fillId="0" borderId="0" xfId="74" applyNumberFormat="1">
      <alignment vertical="center"/>
    </xf>
    <xf numFmtId="0" fontId="73" fillId="0" borderId="0" xfId="74" applyFont="1" applyBorder="1">
      <alignment vertical="center"/>
    </xf>
    <xf numFmtId="0" fontId="72" fillId="0" borderId="0" xfId="74" applyFont="1" applyBorder="1">
      <alignment vertical="center"/>
    </xf>
    <xf numFmtId="3" fontId="71" fillId="0" borderId="0" xfId="74" applyNumberFormat="1" applyFont="1" applyBorder="1" applyAlignment="1">
      <alignment horizontal="left" vertical="center"/>
    </xf>
    <xf numFmtId="184" fontId="91" fillId="27" borderId="7" xfId="74" applyNumberFormat="1" applyFont="1" applyFill="1" applyBorder="1">
      <alignment vertical="center"/>
    </xf>
    <xf numFmtId="3" fontId="91" fillId="27" borderId="17" xfId="74" applyNumberFormat="1" applyFont="1" applyFill="1" applyBorder="1">
      <alignment vertical="center"/>
    </xf>
    <xf numFmtId="49" fontId="92" fillId="0" borderId="0" xfId="74" applyNumberFormat="1" applyFont="1" applyBorder="1" applyAlignment="1">
      <alignment horizontal="left" vertical="center"/>
    </xf>
    <xf numFmtId="0" fontId="93" fillId="0" borderId="0" xfId="74" applyFont="1" applyBorder="1">
      <alignment vertical="center"/>
    </xf>
    <xf numFmtId="3" fontId="68" fillId="0" borderId="0" xfId="74" applyNumberFormat="1" applyFont="1" applyBorder="1">
      <alignment vertical="center"/>
    </xf>
    <xf numFmtId="0" fontId="94" fillId="0" borderId="7" xfId="74" applyFont="1" applyBorder="1" applyAlignment="1">
      <alignment horizontal="left" vertical="center"/>
    </xf>
    <xf numFmtId="0" fontId="94" fillId="0" borderId="7" xfId="74" applyFont="1" applyBorder="1" applyAlignment="1">
      <alignment horizontal="center" vertical="center"/>
    </xf>
    <xf numFmtId="0" fontId="94" fillId="0" borderId="7" xfId="74" applyFont="1" applyBorder="1">
      <alignment vertical="center"/>
    </xf>
    <xf numFmtId="38" fontId="94" fillId="0" borderId="7" xfId="74" applyNumberFormat="1" applyFont="1" applyBorder="1">
      <alignment vertical="center"/>
    </xf>
    <xf numFmtId="0" fontId="67" fillId="0" borderId="0" xfId="74" applyBorder="1" applyAlignment="1">
      <alignment vertical="center"/>
    </xf>
    <xf numFmtId="0" fontId="15" fillId="0" borderId="14" xfId="74" applyFont="1" applyBorder="1" applyAlignment="1">
      <alignment horizontal="left" vertical="center"/>
    </xf>
    <xf numFmtId="0" fontId="94" fillId="0" borderId="7" xfId="74" applyFont="1" applyBorder="1" applyAlignment="1">
      <alignment horizontal="left"/>
    </xf>
    <xf numFmtId="0" fontId="95" fillId="0" borderId="7" xfId="74" applyFont="1" applyBorder="1" applyAlignment="1">
      <alignment horizontal="center" vertical="center"/>
    </xf>
    <xf numFmtId="0" fontId="94" fillId="0" borderId="0" xfId="74" applyFont="1" applyBorder="1" applyAlignment="1">
      <alignment horizontal="left"/>
    </xf>
    <xf numFmtId="0" fontId="95" fillId="0" borderId="0" xfId="74" applyFont="1" applyBorder="1" applyAlignment="1">
      <alignment horizontal="center" vertical="center"/>
    </xf>
    <xf numFmtId="0" fontId="94" fillId="0" borderId="0" xfId="74" applyFont="1" applyBorder="1">
      <alignment vertical="center"/>
    </xf>
    <xf numFmtId="38" fontId="94" fillId="0" borderId="0" xfId="74" applyNumberFormat="1" applyFont="1" applyBorder="1">
      <alignment vertical="center"/>
    </xf>
    <xf numFmtId="183" fontId="73" fillId="0" borderId="0" xfId="74" applyNumberFormat="1" applyFont="1" applyAlignment="1">
      <alignment vertical="center"/>
    </xf>
    <xf numFmtId="0" fontId="67" fillId="0" borderId="0" xfId="74" applyFont="1">
      <alignment vertical="center"/>
    </xf>
    <xf numFmtId="0" fontId="71" fillId="0" borderId="0" xfId="74" applyFont="1" applyBorder="1" applyAlignment="1">
      <alignment horizontal="center" vertical="center"/>
    </xf>
    <xf numFmtId="0" fontId="12" fillId="27" borderId="14" xfId="99" applyFont="1" applyFill="1" applyBorder="1" applyAlignment="1">
      <alignment horizontal="left" vertical="center"/>
    </xf>
    <xf numFmtId="49" fontId="12" fillId="27" borderId="14" xfId="99" applyNumberFormat="1" applyFont="1" applyFill="1" applyBorder="1" applyAlignment="1">
      <alignment horizontal="left" vertical="center"/>
    </xf>
    <xf numFmtId="0" fontId="73" fillId="0" borderId="0" xfId="74" applyNumberFormat="1" applyFont="1" applyBorder="1" applyAlignment="1">
      <alignment horizontal="left" vertical="center"/>
    </xf>
    <xf numFmtId="0" fontId="73" fillId="0" borderId="7" xfId="74" applyFont="1" applyBorder="1">
      <alignment vertical="center"/>
    </xf>
    <xf numFmtId="0" fontId="73" fillId="0" borderId="0" xfId="74" applyNumberFormat="1" applyFont="1" applyBorder="1" applyAlignment="1">
      <alignment vertical="center"/>
    </xf>
    <xf numFmtId="0" fontId="94" fillId="0" borderId="0" xfId="74" applyNumberFormat="1" applyFont="1" applyBorder="1" applyAlignment="1">
      <alignment vertical="center"/>
    </xf>
    <xf numFmtId="1" fontId="94" fillId="0" borderId="0" xfId="74" applyNumberFormat="1" applyFont="1" applyBorder="1" applyAlignment="1">
      <alignment vertical="center"/>
    </xf>
    <xf numFmtId="0" fontId="18" fillId="27" borderId="16" xfId="74" applyFont="1" applyFill="1" applyBorder="1" applyAlignment="1">
      <alignment horizontal="center" vertical="center"/>
    </xf>
    <xf numFmtId="0" fontId="16" fillId="27" borderId="16" xfId="74" applyFont="1" applyFill="1" applyBorder="1" applyAlignment="1">
      <alignment horizontal="center" vertical="center"/>
    </xf>
    <xf numFmtId="188" fontId="2" fillId="0" borderId="0" xfId="116" applyNumberFormat="1" applyFont="1" applyAlignment="1">
      <alignment vertical="center"/>
    </xf>
    <xf numFmtId="0" fontId="60" fillId="0" borderId="0" xfId="71" applyFont="1" applyBorder="1" applyAlignment="1">
      <alignment vertical="center"/>
    </xf>
    <xf numFmtId="0" fontId="12" fillId="27" borderId="14" xfId="74" applyFont="1" applyFill="1" applyBorder="1" applyAlignment="1">
      <alignment vertical="center"/>
    </xf>
    <xf numFmtId="0" fontId="94" fillId="0" borderId="0" xfId="74" applyNumberFormat="1" applyFont="1" applyBorder="1" applyAlignment="1">
      <alignment horizontal="left" vertical="center"/>
    </xf>
    <xf numFmtId="0" fontId="11" fillId="0" borderId="14" xfId="74" applyFont="1" applyFill="1" applyBorder="1" applyAlignment="1">
      <alignment vertical="center"/>
    </xf>
    <xf numFmtId="0" fontId="12" fillId="27" borderId="19" xfId="74" applyFont="1" applyFill="1" applyBorder="1" applyAlignment="1">
      <alignment vertical="center"/>
    </xf>
    <xf numFmtId="0" fontId="96" fillId="0" borderId="0" xfId="71" applyFont="1" applyBorder="1" applyAlignment="1">
      <alignment vertical="center"/>
    </xf>
    <xf numFmtId="188" fontId="2" fillId="0" borderId="0" xfId="116" applyNumberFormat="1" applyFont="1" applyBorder="1" applyAlignment="1">
      <alignment vertical="center"/>
    </xf>
    <xf numFmtId="0" fontId="16" fillId="0" borderId="28" xfId="74" applyFont="1" applyBorder="1" applyAlignment="1">
      <alignment horizontal="center" vertical="center"/>
    </xf>
    <xf numFmtId="0" fontId="3" fillId="0" borderId="0" xfId="74" applyFont="1" applyBorder="1" applyAlignment="1">
      <alignment horizontal="center" vertical="center"/>
    </xf>
    <xf numFmtId="184" fontId="11" fillId="0" borderId="7" xfId="74" applyNumberFormat="1" applyFont="1" applyBorder="1" applyAlignment="1">
      <alignment horizontal="right" vertical="center"/>
    </xf>
    <xf numFmtId="184" fontId="11" fillId="0" borderId="7" xfId="74" applyNumberFormat="1" applyFont="1" applyBorder="1" applyAlignment="1">
      <alignment horizontal="center" vertical="center"/>
    </xf>
    <xf numFmtId="188" fontId="67" fillId="0" borderId="0" xfId="120" applyNumberFormat="1">
      <alignment vertical="center"/>
    </xf>
    <xf numFmtId="188" fontId="67" fillId="0" borderId="0" xfId="74" applyNumberFormat="1">
      <alignment vertical="center"/>
    </xf>
    <xf numFmtId="194" fontId="67" fillId="0" borderId="0" xfId="145" applyNumberFormat="1">
      <alignment vertical="center"/>
    </xf>
    <xf numFmtId="184" fontId="91" fillId="27" borderId="17" xfId="74" applyNumberFormat="1" applyFont="1" applyFill="1" applyBorder="1">
      <alignment vertical="center"/>
    </xf>
    <xf numFmtId="0" fontId="67" fillId="27" borderId="0" xfId="108" applyFont="1" applyFill="1" applyBorder="1" applyAlignment="1">
      <alignment vertical="center"/>
    </xf>
    <xf numFmtId="0" fontId="12" fillId="27" borderId="20" xfId="74" applyFont="1" applyFill="1" applyBorder="1" applyAlignment="1">
      <alignment vertical="center"/>
    </xf>
    <xf numFmtId="0" fontId="68" fillId="27" borderId="0" xfId="108" applyFont="1" applyFill="1" applyBorder="1" applyAlignment="1">
      <alignment vertical="center"/>
    </xf>
    <xf numFmtId="38" fontId="67" fillId="0" borderId="0" xfId="74" applyNumberFormat="1" applyBorder="1">
      <alignment vertical="center"/>
    </xf>
    <xf numFmtId="0" fontId="67" fillId="0" borderId="0" xfId="74" applyFont="1" applyBorder="1" applyAlignment="1">
      <alignment horizontal="right" vertical="center"/>
    </xf>
    <xf numFmtId="186" fontId="67" fillId="0" borderId="0" xfId="74" applyNumberFormat="1" applyFont="1" applyBorder="1">
      <alignment vertical="center"/>
    </xf>
    <xf numFmtId="183" fontId="67" fillId="0" borderId="0" xfId="74" applyNumberFormat="1" applyFont="1" applyBorder="1">
      <alignment vertical="center"/>
    </xf>
    <xf numFmtId="0" fontId="67" fillId="27" borderId="7" xfId="108" applyFont="1" applyFill="1" applyBorder="1" applyAlignment="1">
      <alignment vertical="center"/>
    </xf>
    <xf numFmtId="0" fontId="67" fillId="0" borderId="7" xfId="74" applyBorder="1">
      <alignment vertical="center"/>
    </xf>
    <xf numFmtId="0" fontId="73" fillId="0" borderId="0" xfId="74" applyFont="1" applyBorder="1" applyAlignment="1">
      <alignment horizontal="center" vertical="center"/>
    </xf>
    <xf numFmtId="38" fontId="73" fillId="0" borderId="0" xfId="74" applyNumberFormat="1" applyFont="1" applyBorder="1">
      <alignment vertical="center"/>
    </xf>
    <xf numFmtId="0" fontId="67" fillId="0" borderId="0" xfId="74" applyBorder="1" applyAlignment="1">
      <alignment horizontal="center" vertical="center"/>
    </xf>
    <xf numFmtId="183" fontId="67" fillId="0" borderId="0" xfId="74" applyNumberFormat="1" applyBorder="1">
      <alignment vertical="center"/>
    </xf>
    <xf numFmtId="0" fontId="67" fillId="0" borderId="0" xfId="74" applyFont="1">
      <alignment vertical="center"/>
    </xf>
    <xf numFmtId="0" fontId="67" fillId="0" borderId="7" xfId="74" applyFont="1" applyBorder="1">
      <alignment vertical="center"/>
    </xf>
    <xf numFmtId="0" fontId="67" fillId="27" borderId="7" xfId="108" applyFont="1" applyFill="1" applyBorder="1" applyAlignment="1">
      <alignment vertical="center"/>
    </xf>
    <xf numFmtId="188" fontId="67" fillId="27" borderId="7" xfId="108" applyNumberFormat="1" applyFont="1" applyFill="1" applyBorder="1" applyAlignment="1">
      <alignment vertical="center"/>
    </xf>
    <xf numFmtId="183" fontId="67" fillId="27" borderId="7" xfId="108" applyNumberFormat="1" applyFont="1" applyFill="1" applyBorder="1" applyAlignment="1">
      <alignment vertical="center"/>
    </xf>
    <xf numFmtId="38" fontId="67" fillId="0" borderId="7" xfId="74" applyNumberFormat="1" applyBorder="1">
      <alignment vertical="center"/>
    </xf>
    <xf numFmtId="0" fontId="72" fillId="27" borderId="0" xfId="108" applyFont="1" applyFill="1" applyBorder="1" applyAlignment="1">
      <alignment vertical="center"/>
    </xf>
    <xf numFmtId="200" fontId="97" fillId="27" borderId="0" xfId="108" applyNumberFormat="1" applyFont="1" applyFill="1" applyBorder="1" applyAlignment="1">
      <alignment vertical="center"/>
    </xf>
    <xf numFmtId="188" fontId="24" fillId="0" borderId="7" xfId="116" applyNumberFormat="1" applyFont="1" applyBorder="1" applyAlignment="1">
      <alignment vertical="center"/>
    </xf>
    <xf numFmtId="0" fontId="15" fillId="0" borderId="20" xfId="74" applyFont="1" applyBorder="1" applyAlignment="1">
      <alignment horizontal="right" vertical="center"/>
    </xf>
    <xf numFmtId="191" fontId="67" fillId="27" borderId="0" xfId="108" applyNumberFormat="1" applyFont="1" applyFill="1" applyBorder="1" applyAlignment="1">
      <alignment vertical="center"/>
    </xf>
    <xf numFmtId="0" fontId="24" fillId="0" borderId="0" xfId="74" applyFont="1" applyBorder="1" applyAlignment="1">
      <alignment vertical="center"/>
    </xf>
    <xf numFmtId="1" fontId="67" fillId="0" borderId="0" xfId="74" applyNumberFormat="1" applyBorder="1">
      <alignment vertical="center"/>
    </xf>
    <xf numFmtId="0" fontId="98" fillId="27" borderId="20" xfId="74" applyFont="1" applyFill="1" applyBorder="1" applyAlignment="1">
      <alignment vertical="center"/>
    </xf>
    <xf numFmtId="0" fontId="99" fillId="27" borderId="20" xfId="99" applyFont="1" applyFill="1" applyBorder="1" applyAlignment="1">
      <alignment horizontal="center" vertical="center"/>
    </xf>
    <xf numFmtId="0" fontId="100" fillId="27" borderId="20" xfId="99" applyFont="1" applyFill="1" applyBorder="1" applyAlignment="1">
      <alignment horizontal="center" vertical="center"/>
    </xf>
    <xf numFmtId="6" fontId="83" fillId="0" borderId="20" xfId="74" applyNumberFormat="1" applyFont="1" applyBorder="1">
      <alignment vertical="center"/>
    </xf>
    <xf numFmtId="0" fontId="70" fillId="0" borderId="22" xfId="74" applyFont="1" applyBorder="1" applyAlignment="1">
      <alignment horizontal="center" vertical="center"/>
    </xf>
    <xf numFmtId="188" fontId="70" fillId="27" borderId="18" xfId="120" applyNumberFormat="1" applyFont="1" applyFill="1" applyBorder="1">
      <alignment vertical="center"/>
    </xf>
    <xf numFmtId="184" fontId="101" fillId="27" borderId="7" xfId="74" applyNumberFormat="1" applyFont="1" applyFill="1" applyBorder="1">
      <alignment vertical="center"/>
    </xf>
    <xf numFmtId="0" fontId="64" fillId="27" borderId="20" xfId="108" applyFont="1" applyFill="1" applyBorder="1" applyAlignment="1">
      <alignment horizontal="left" vertical="center"/>
    </xf>
    <xf numFmtId="38" fontId="70" fillId="27" borderId="20" xfId="74" applyNumberFormat="1" applyFont="1" applyFill="1" applyBorder="1" applyAlignment="1">
      <alignment horizontal="right" vertical="center"/>
    </xf>
    <xf numFmtId="6" fontId="70" fillId="27" borderId="20" xfId="74" applyNumberFormat="1" applyFont="1" applyFill="1" applyBorder="1">
      <alignment vertical="center"/>
    </xf>
    <xf numFmtId="0" fontId="70" fillId="27" borderId="22" xfId="74" applyFont="1" applyFill="1" applyBorder="1" applyAlignment="1">
      <alignment horizontal="center" vertical="center"/>
    </xf>
    <xf numFmtId="188" fontId="70" fillId="27" borderId="21" xfId="120" applyNumberFormat="1" applyFont="1" applyFill="1" applyBorder="1">
      <alignment vertical="center"/>
    </xf>
    <xf numFmtId="184" fontId="101" fillId="0" borderId="7" xfId="116" applyNumberFormat="1" applyFont="1" applyBorder="1" applyAlignment="1">
      <alignment vertical="center"/>
    </xf>
    <xf numFmtId="0" fontId="65" fillId="0" borderId="19" xfId="74" applyFont="1" applyBorder="1">
      <alignment vertical="center"/>
    </xf>
    <xf numFmtId="184" fontId="70" fillId="27" borderId="13" xfId="74" applyNumberFormat="1" applyFont="1" applyFill="1" applyBorder="1">
      <alignment vertical="center"/>
    </xf>
    <xf numFmtId="0" fontId="67" fillId="0" borderId="7" xfId="74" applyFont="1" applyBorder="1">
      <alignment vertical="center"/>
    </xf>
    <xf numFmtId="0" fontId="25" fillId="0" borderId="14" xfId="74" applyFont="1" applyBorder="1" applyAlignment="1">
      <alignment horizontal="left" vertical="center"/>
    </xf>
    <xf numFmtId="0" fontId="25" fillId="0" borderId="13" xfId="74" applyFont="1" applyBorder="1" applyAlignment="1">
      <alignment horizontal="left" vertical="center"/>
    </xf>
    <xf numFmtId="0" fontId="25" fillId="0" borderId="18" xfId="74" applyFont="1" applyBorder="1" applyAlignment="1">
      <alignment horizontal="left" vertical="center"/>
    </xf>
    <xf numFmtId="0" fontId="25" fillId="0" borderId="29" xfId="74" applyFont="1" applyBorder="1" applyAlignment="1">
      <alignment horizontal="left" vertical="center"/>
    </xf>
    <xf numFmtId="0" fontId="25" fillId="0" borderId="30" xfId="74" applyFont="1" applyBorder="1" applyAlignment="1">
      <alignment horizontal="left" vertical="center"/>
    </xf>
    <xf numFmtId="0" fontId="25" fillId="0" borderId="31" xfId="74" applyFont="1" applyBorder="1" applyAlignment="1">
      <alignment horizontal="left" vertical="center"/>
    </xf>
    <xf numFmtId="0" fontId="9" fillId="0" borderId="28" xfId="88" applyFont="1" applyBorder="1" applyAlignment="1">
      <alignment vertical="center"/>
    </xf>
    <xf numFmtId="0" fontId="9" fillId="0" borderId="13" xfId="88" applyFont="1" applyBorder="1" applyAlignment="1">
      <alignment vertical="center"/>
    </xf>
    <xf numFmtId="0" fontId="9" fillId="0" borderId="18" xfId="88" applyFont="1" applyBorder="1" applyAlignment="1">
      <alignment vertical="center"/>
    </xf>
    <xf numFmtId="0" fontId="74" fillId="0" borderId="14" xfId="74" applyFont="1" applyBorder="1" applyAlignment="1">
      <alignment horizontal="center" vertical="center"/>
    </xf>
    <xf numFmtId="0" fontId="74" fillId="0" borderId="13" xfId="74" applyFont="1" applyBorder="1" applyAlignment="1">
      <alignment horizontal="center" vertical="center"/>
    </xf>
    <xf numFmtId="0" fontId="74" fillId="0" borderId="18" xfId="74" applyFont="1" applyBorder="1" applyAlignment="1">
      <alignment horizontal="center" vertical="center"/>
    </xf>
    <xf numFmtId="49" fontId="100" fillId="0" borderId="14" xfId="74" applyNumberFormat="1" applyFont="1" applyBorder="1" applyAlignment="1">
      <alignment horizontal="left" vertical="center"/>
    </xf>
    <xf numFmtId="49" fontId="100" fillId="0" borderId="13" xfId="74" applyNumberFormat="1" applyFont="1" applyBorder="1" applyAlignment="1">
      <alignment horizontal="left" vertical="center"/>
    </xf>
    <xf numFmtId="184" fontId="67" fillId="0" borderId="0" xfId="74" applyNumberFormat="1" applyFont="1" applyBorder="1" applyAlignment="1">
      <alignment horizontal="center" vertical="center"/>
    </xf>
    <xf numFmtId="0" fontId="67" fillId="0" borderId="0" xfId="74" applyFont="1" applyAlignment="1">
      <alignment horizontal="center" vertical="center"/>
    </xf>
    <xf numFmtId="0" fontId="94" fillId="0" borderId="14" xfId="74" applyFont="1" applyBorder="1" applyAlignment="1">
      <alignment horizontal="left" vertical="center" shrinkToFit="1"/>
    </xf>
    <xf numFmtId="0" fontId="94" fillId="0" borderId="13" xfId="74" applyFont="1" applyBorder="1" applyAlignment="1">
      <alignment horizontal="left" vertical="center" shrinkToFit="1"/>
    </xf>
    <xf numFmtId="0" fontId="94" fillId="0" borderId="18" xfId="74" applyFont="1" applyBorder="1" applyAlignment="1">
      <alignment horizontal="left" vertical="center" shrinkToFit="1"/>
    </xf>
    <xf numFmtId="0" fontId="74" fillId="0" borderId="32" xfId="74" applyFont="1" applyBorder="1" applyAlignment="1">
      <alignment horizontal="center" vertical="center"/>
    </xf>
    <xf numFmtId="0" fontId="102" fillId="0" borderId="33" xfId="74" applyFont="1" applyBorder="1" applyAlignment="1">
      <alignment horizontal="center"/>
    </xf>
    <xf numFmtId="0" fontId="9" fillId="0" borderId="34" xfId="88" applyFont="1" applyBorder="1" applyAlignment="1">
      <alignment vertical="center"/>
    </xf>
    <xf numFmtId="0" fontId="9" fillId="0" borderId="35" xfId="88" applyFont="1" applyBorder="1" applyAlignment="1">
      <alignment vertical="center"/>
    </xf>
    <xf numFmtId="0" fontId="9" fillId="0" borderId="36" xfId="88" applyFont="1" applyBorder="1" applyAlignment="1">
      <alignment vertical="center"/>
    </xf>
    <xf numFmtId="0" fontId="9" fillId="0" borderId="37" xfId="108" applyFont="1" applyBorder="1" applyAlignment="1">
      <alignment horizontal="left" vertical="center"/>
    </xf>
    <xf numFmtId="0" fontId="9" fillId="0" borderId="35" xfId="108" applyFont="1" applyBorder="1" applyAlignment="1">
      <alignment horizontal="left" vertical="center"/>
    </xf>
    <xf numFmtId="0" fontId="9" fillId="0" borderId="38" xfId="108" applyFont="1" applyBorder="1" applyAlignment="1">
      <alignment horizontal="left" vertical="center"/>
    </xf>
    <xf numFmtId="0" fontId="9" fillId="0" borderId="14" xfId="108" applyFont="1" applyBorder="1" applyAlignment="1">
      <alignment horizontal="left" vertical="center"/>
    </xf>
    <xf numFmtId="0" fontId="9" fillId="0" borderId="13" xfId="108" applyFont="1" applyBorder="1" applyAlignment="1">
      <alignment horizontal="left" vertical="center"/>
    </xf>
    <xf numFmtId="0" fontId="9" fillId="0" borderId="15" xfId="108" applyFont="1" applyBorder="1" applyAlignment="1">
      <alignment horizontal="left" vertical="center"/>
    </xf>
  </cellXfs>
  <cellStyles count="166">
    <cellStyle name="_99042-清華大學多功能運動館-1000107(分包)給建築師" xfId="1" xr:uid="{D68B0429-5EB7-4146-88CC-440E03CE3F4E}"/>
    <cellStyle name="_99042-清華大學多功能運動館-1000114(分包)給建築師" xfId="2" xr:uid="{ACCB2D0A-A303-9F4E-A01C-B77B85DC1084}"/>
    <cellStyle name="_99042-清華大學多功能運動館-990915" xfId="3" xr:uid="{ABC03BA8-541C-1948-A1E6-EAE3E83612B0}"/>
    <cellStyle name="_99042-清華大學多功能運動館-991119(分包)" xfId="4" xr:uid="{3CC31604-1C3A-5C40-8B14-A328121A1A1C}"/>
    <cellStyle name="_99042-清華大學多功能運動館-991208(分包)" xfId="5" xr:uid="{319B69D9-1799-EC4C-999F-A3455B7617C3}"/>
    <cellStyle name="_99042-清華大學多功能運動館-991221(分包)" xfId="6" xr:uid="{51209B10-85AC-FE42-8C79-B0B29DA0D4C5}"/>
    <cellStyle name="_99042-清華大學多功能運動館-991230(分包)給建築師" xfId="7" xr:uid="{B082F49A-8AED-C945-AFA7-E35025743538}"/>
    <cellStyle name="_99042-清華大學多功能運動館不納入本期採購之設備" xfId="8" xr:uid="{6CC0AB5C-4A37-7444-9E3B-89B1A11A6CC9}"/>
    <cellStyle name="_99042-清華大學多功能運動館不納入本期採購之設備1000107" xfId="9" xr:uid="{5E3550F0-EFAF-E94B-93EB-FF0A48958575}"/>
    <cellStyle name="_工研院活動中心新建工程" xfId="10" xr:uid="{B6C0E2A6-1578-D34D-9E1F-59DE51931AF5}"/>
    <cellStyle name="_陳綢水電" xfId="11" xr:uid="{D3A6B9B4-EDD8-2845-8EBF-86938ABCC652}"/>
    <cellStyle name="_數量計算1" xfId="12" xr:uid="{A40D4C62-50E6-A440-9C7D-D0F8A0D9924F}"/>
    <cellStyle name="¶W³sµ²" xfId="13" xr:uid="{11E69930-4C52-4644-8ECC-153CCFF3F7C7}"/>
    <cellStyle name="0,0_x000d__x000a_NA_x000d__x000a_" xfId="14" xr:uid="{F5A8CE79-D031-1E46-938E-66601555C564}"/>
    <cellStyle name="0,0_x000d__x000a_NA_x000d__x000a_ 2" xfId="15" xr:uid="{B07DE147-CF21-BE46-BB8D-8A6E7E9FC35F}"/>
    <cellStyle name="0,0_x000d__x000a_NA_x000d__x000a__三峽分宮會館外觀改造預算-ABC棟20161113" xfId="16" xr:uid="{F249E72A-7E5B-A14B-824C-400CA402BD45}"/>
    <cellStyle name="20% - Accent1" xfId="17" xr:uid="{D774F2EA-1CBF-8D4B-903C-09075CB633CD}"/>
    <cellStyle name="20% - Accent2" xfId="18" xr:uid="{9617B98F-8C78-0C41-B6AD-FC8225E376A1}"/>
    <cellStyle name="20% - Accent3" xfId="19" xr:uid="{126AED71-BA55-4345-B52C-FC6EEB32F16A}"/>
    <cellStyle name="20% - Accent4" xfId="20" xr:uid="{E0919CCD-7A16-1841-AD8E-5284330BF6C2}"/>
    <cellStyle name="20% - Accent5" xfId="21" xr:uid="{A543C7A2-6B2B-5442-9DCB-2A9BAE5C1563}"/>
    <cellStyle name="20% - Accent6" xfId="22" xr:uid="{48F80E00-01BA-FC4F-B191-D23094FD26A5}"/>
    <cellStyle name="40% - Accent1" xfId="23" xr:uid="{6F93A29B-41E6-8149-A31E-BAC983A211BB}"/>
    <cellStyle name="40% - Accent2" xfId="24" xr:uid="{82A97CEB-BC65-3D4A-A57E-A5EC02662722}"/>
    <cellStyle name="40% - Accent3" xfId="25" xr:uid="{C0BA19F4-7C85-9E48-81DE-CC8BF8DD8943}"/>
    <cellStyle name="40% - Accent4" xfId="26" xr:uid="{A3E9EEBD-7197-7D4B-AA00-D9BE49339409}"/>
    <cellStyle name="40% - Accent5" xfId="27" xr:uid="{A3E789AA-340F-4749-9511-CDC8DAFC11F2}"/>
    <cellStyle name="40% - Accent6" xfId="28" xr:uid="{84229AD2-73E9-9B4C-9928-421112AF5FA7}"/>
    <cellStyle name="60% - Accent1" xfId="29" xr:uid="{B6EBDB95-3082-D342-8B5C-90C9DCC0DEE1}"/>
    <cellStyle name="60% - Accent2" xfId="30" xr:uid="{1F474650-A781-B641-B83E-0128FE60B78A}"/>
    <cellStyle name="60% - Accent3" xfId="31" xr:uid="{06A8B333-4DE8-1549-870F-9EF90DD00AED}"/>
    <cellStyle name="60% - Accent4" xfId="32" xr:uid="{A1D71E49-6FD4-4041-9CCF-34A869A84EB1}"/>
    <cellStyle name="60% - Accent5" xfId="33" xr:uid="{F1E13BF2-5E51-334D-9529-7B6B4940B53F}"/>
    <cellStyle name="60% - Accent6" xfId="34" xr:uid="{66E018DD-2E4D-B842-BDB8-ED111EC744FB}"/>
    <cellStyle name="Accent1" xfId="35" xr:uid="{5FA2081C-448D-5C4A-BD85-7157D375363B}"/>
    <cellStyle name="Accent2" xfId="36" xr:uid="{985F90EA-CC4F-A54F-80B6-42C34E60C2BC}"/>
    <cellStyle name="Accent3" xfId="37" xr:uid="{DC173796-7387-3841-9C9E-5D8E17AF5A7E}"/>
    <cellStyle name="Accent4" xfId="38" xr:uid="{FA6FB9D3-7503-A145-AA4E-24AC089C7F89}"/>
    <cellStyle name="Accent5" xfId="39" xr:uid="{8E684591-F3FC-9442-A5E4-251A4D1E8B1C}"/>
    <cellStyle name="Accent6" xfId="40" xr:uid="{F5777076-E10D-294A-A964-020601FC01CA}"/>
    <cellStyle name="Bad" xfId="41" xr:uid="{F2266A99-BCDC-7B45-8550-837C097C380A}"/>
    <cellStyle name="BROAD_SCOPE" xfId="42" xr:uid="{7CC50BEE-BD85-EE49-AA35-A294D58EAD0E}"/>
    <cellStyle name="Calculation" xfId="43" xr:uid="{9FFA2170-1DFC-CE4D-85A9-F370170F2547}"/>
    <cellStyle name="Check Cell" xfId="44" xr:uid="{4AFFE3B1-910A-374D-B8F4-0F843DF4DA37}"/>
    <cellStyle name="Comma0" xfId="45" xr:uid="{267C5BFF-9F77-8B46-8EED-86A31D23D76C}"/>
    <cellStyle name="Currency [0]_CCOCPX" xfId="46" xr:uid="{A16532D3-ECF9-634C-B926-D32A0A88EEC5}"/>
    <cellStyle name="Currency_CCOCPX" xfId="47" xr:uid="{E8F3E1AF-295D-A24D-B70D-0CF9CFF0D105}"/>
    <cellStyle name="Currency0" xfId="48" xr:uid="{27B60E86-6003-B44F-B2C7-1B9F5D42FF8C}"/>
    <cellStyle name="Date" xfId="49" xr:uid="{ED4D6313-0F58-504D-B351-C7A8B234AE2E}"/>
    <cellStyle name="Explanatory Text" xfId="50" xr:uid="{CC26170F-F51B-D744-9AA7-45BC32BBCD91}"/>
    <cellStyle name="Fixed" xfId="51" xr:uid="{A2058B07-EE30-1348-94B9-043B994B73EA}"/>
    <cellStyle name="Good" xfId="52" xr:uid="{CCF76F11-9C6F-1641-A184-D36CCBAC4B5D}"/>
    <cellStyle name="Grey" xfId="53" xr:uid="{FA54F5D3-A6B5-A440-8D8A-7F943BCD865D}"/>
    <cellStyle name="Heading 1" xfId="54" xr:uid="{D4351727-0637-0A40-8DD8-8D43EA45310D}"/>
    <cellStyle name="Heading 2" xfId="55" xr:uid="{6895A7C1-2AD4-434B-B16B-A1E85E806E26}"/>
    <cellStyle name="Heading 3" xfId="56" xr:uid="{3AD4CB43-3247-7A46-8911-103BB11F21CA}"/>
    <cellStyle name="Heading 4" xfId="57" xr:uid="{7B65DA37-8BBE-0B4E-86E8-6EF120A5152F}"/>
    <cellStyle name="Input" xfId="58" xr:uid="{10AA549E-17B3-3A4C-8631-189A4C3BEA76}"/>
    <cellStyle name="Input [yellow]" xfId="59" xr:uid="{74096182-8814-154D-BFCA-002422F1BB03}"/>
    <cellStyle name="Linked Cell" xfId="60" xr:uid="{B78E1493-2AB3-304F-B878-A38B49B89A57}"/>
    <cellStyle name="Neutral" xfId="61" xr:uid="{9C0E60B1-60DC-2646-984C-A447EA52DADD}"/>
    <cellStyle name="Normal - Style1" xfId="62" xr:uid="{94C4BF88-CD18-D147-A45A-D9E427F7524C}"/>
    <cellStyle name="Normal_Capex" xfId="63" xr:uid="{D8C35C38-ED76-EF44-8B5D-9B9BF3DC852E}"/>
    <cellStyle name="Note" xfId="64" xr:uid="{7D4B1E66-9568-7B45-9D44-8F6F503163FE}"/>
    <cellStyle name="Output" xfId="65" xr:uid="{AB9DFA6A-FFD4-8A44-9A09-387AAD206874}"/>
    <cellStyle name="Percent [2]" xfId="66" xr:uid="{ECB9B1F9-16B3-5440-A7BC-AE59057D33A0}"/>
    <cellStyle name="Percent_pldt" xfId="67" xr:uid="{F56C79AA-C1DF-824D-A02E-C6445B37631B}"/>
    <cellStyle name="Title" xfId="68" xr:uid="{BE37FAE5-5570-BB44-9A10-630E1FA9BCF6}"/>
    <cellStyle name="Total" xfId="69" xr:uid="{338684A8-0A8B-A846-B77D-12C2403F690F}"/>
    <cellStyle name="Warning Text" xfId="70" xr:uid="{8B96DE44-9C92-124C-B980-ADF68C7C98E7}"/>
    <cellStyle name="一般" xfId="0" builtinId="0"/>
    <cellStyle name="一般 10" xfId="71" xr:uid="{BA2AE998-916A-1844-B7AB-F99ACD241BFF}"/>
    <cellStyle name="一般 11" xfId="72" xr:uid="{71915195-A885-E14A-85DA-FE7E7B7DBCC0}"/>
    <cellStyle name="一般 12" xfId="73" xr:uid="{FEFA4FC7-6BF3-FD4F-8378-C1EE691659A6}"/>
    <cellStyle name="一般 13" xfId="74" xr:uid="{3C3A74D1-E251-5E4B-88BF-62F7A54E7787}"/>
    <cellStyle name="一般 14" xfId="75" xr:uid="{4A4F983F-261D-264C-8E67-6663CC72A207}"/>
    <cellStyle name="一般 15" xfId="76" xr:uid="{24D05D30-8DF5-7442-AE7E-B11E88536460}"/>
    <cellStyle name="一般 16" xfId="77" xr:uid="{61F6E000-9AEC-2A4E-BBD9-E919AECC809B}"/>
    <cellStyle name="一般 17" xfId="78" xr:uid="{5B616F58-1AC1-F843-B7B2-212B541165A8}"/>
    <cellStyle name="一般 18" xfId="79" xr:uid="{B236CC09-B0A4-E344-B572-7C39D26F891F}"/>
    <cellStyle name="一般 19" xfId="80" xr:uid="{1ADD0B21-56AA-324F-A983-BE4A162FA33B}"/>
    <cellStyle name="一般 2" xfId="81" xr:uid="{738C10C8-467A-0E48-86F7-39739C8C3296}"/>
    <cellStyle name="一般 2 2" xfId="82" xr:uid="{5D82B344-9E2F-9248-A71B-DC5A8FDC0977}"/>
    <cellStyle name="一般 2 3" xfId="83" xr:uid="{AA3F53BC-47DB-0645-960C-8BEFAC936A5E}"/>
    <cellStyle name="一般 20" xfId="84" xr:uid="{22DC7FE2-23F6-294D-9704-B9FB4501FEEB}"/>
    <cellStyle name="一般 3" xfId="85" xr:uid="{A44C666E-2492-8449-BA8C-DF1010959A3F}"/>
    <cellStyle name="一般 3 2" xfId="86" xr:uid="{874CB372-D5C6-774D-B487-AD076E43E62B}"/>
    <cellStyle name="一般 3 3" xfId="87" xr:uid="{C14DD9DE-53B2-3147-A5EB-345384B77335}"/>
    <cellStyle name="一般 3 3 2" xfId="88" xr:uid="{A779DD59-CCEB-F245-A8CE-40EB118C5BDD}"/>
    <cellStyle name="一般 4" xfId="89" xr:uid="{C3D08FD3-7D74-A143-9527-686AE30C3E54}"/>
    <cellStyle name="一般 4 2" xfId="90" xr:uid="{5D0B8CC0-384C-1945-B055-2CDAF18069E4}"/>
    <cellStyle name="一般 4_三峽分宮會館外觀改造預算-ABC棟20161113" xfId="91" xr:uid="{84DAE5FC-51A3-1243-8B8E-7997C4E26C2C}"/>
    <cellStyle name="一般 5" xfId="92" xr:uid="{47F98E66-CEB8-9549-9A90-7130CE8D0AA8}"/>
    <cellStyle name="一般 5 2" xfId="93" xr:uid="{245905F7-9274-4D46-8E54-F09E4A27EA00}"/>
    <cellStyle name="一般 5_三峽分宮會館外觀改造預算-ABC棟20161113" xfId="94" xr:uid="{32972071-481D-E14A-B084-84094C5B32E6}"/>
    <cellStyle name="一般 6" xfId="95" xr:uid="{EB2F68A7-E7B4-4140-9CDF-3753754368D1}"/>
    <cellStyle name="一般 7" xfId="96" xr:uid="{0864A9B2-915B-FB41-A932-962620A0C52C}"/>
    <cellStyle name="一般 7 2" xfId="97" xr:uid="{9DC79C02-3795-634D-8106-A7FD9C10382E}"/>
    <cellStyle name="一般 7 3" xfId="98" xr:uid="{80C985F4-9E46-474E-B0DD-F49D988DBCE6}"/>
    <cellStyle name="一般 7 3 2" xfId="99" xr:uid="{4A005699-1EA1-AF4E-97E7-9BA79B72BA7B}"/>
    <cellStyle name="一般 7 3 2 2" xfId="100" xr:uid="{EF18DD06-8E80-3D4E-813B-43609EDF6A27}"/>
    <cellStyle name="一般 7 4" xfId="101" xr:uid="{AC260814-4D43-9D40-8B85-6905049D015E}"/>
    <cellStyle name="一般 7 4 2" xfId="102" xr:uid="{B0A4AA59-52A9-A54D-8A6F-35ECAFFEA7EB}"/>
    <cellStyle name="一般 7 5" xfId="103" xr:uid="{DB7250F9-0F01-3646-B0B2-F6670B7D6DCB}"/>
    <cellStyle name="一般 7 5 2" xfId="104" xr:uid="{D7FDB480-D99B-D14D-B176-13E926893057}"/>
    <cellStyle name="一般 7 6" xfId="105" xr:uid="{18705777-B50B-9A48-82C7-D24CE551DACA}"/>
    <cellStyle name="一般 7 7" xfId="106" xr:uid="{B16D8387-B96C-124F-B309-3244D76CBF15}"/>
    <cellStyle name="一般 7 7 2" xfId="107" xr:uid="{478C7DE6-C689-EB4E-88DB-61CD63711001}"/>
    <cellStyle name="一般 7 8" xfId="108" xr:uid="{E8B98EF7-BD51-8448-AD96-39F0C635D3D7}"/>
    <cellStyle name="一般 7 8 2" xfId="109" xr:uid="{8CC491F1-DD7F-2844-9614-A9AAB0467035}"/>
    <cellStyle name="一般 7 9" xfId="110" xr:uid="{EC570CE1-FA42-7746-8977-5F3191153E28}"/>
    <cellStyle name="一般 8" xfId="111" xr:uid="{49F0A571-2558-7D4F-9330-8529D16DE4B7}"/>
    <cellStyle name="一般 8 2" xfId="112" xr:uid="{C003F2DD-4CEA-0B45-A140-80FAA3F5D411}"/>
    <cellStyle name="一般 9" xfId="113" xr:uid="{656E1BC0-6FC9-D24F-8474-28D48727AA69}"/>
    <cellStyle name="千分位 2" xfId="114" xr:uid="{05F2D831-AD09-1845-BF10-A5434F346937}"/>
    <cellStyle name="千分位 2 2" xfId="115" xr:uid="{86CFAACA-AD87-004B-A07D-6B1C152F1A17}"/>
    <cellStyle name="千分位 2 3" xfId="116" xr:uid="{0C2E5D09-0A62-8541-8684-9C772EBF1F1C}"/>
    <cellStyle name="千分位 3" xfId="117" xr:uid="{30B9F2C0-8299-9A4A-A861-6B30F9E0E844}"/>
    <cellStyle name="千分位 3 2" xfId="118" xr:uid="{B3C32722-B2FF-9644-97E2-EEC5CFCF7079}"/>
    <cellStyle name="千分位 3 3" xfId="119" xr:uid="{D1E0488C-663B-5742-97B0-8671C6B2849D}"/>
    <cellStyle name="千分位 3 4" xfId="120" xr:uid="{170AD20E-532B-484D-89D9-B1A48383A1A1}"/>
    <cellStyle name="千分位 3_三峽分宮會館外觀改造預算-ABC棟20161113" xfId="121" xr:uid="{5F4E8D86-E3B9-4645-B674-14F39DFD1179}"/>
    <cellStyle name="千分位 4" xfId="122" xr:uid="{8444391B-CFF1-EB42-9572-C376A3EB51B7}"/>
    <cellStyle name="千分位 5" xfId="123" xr:uid="{A798B457-083B-A74E-96AA-382DA07B1821}"/>
    <cellStyle name="千分位 6" xfId="124" xr:uid="{6CFB851E-3F5A-EC44-BFDB-E671D8745AF0}"/>
    <cellStyle name="千分位 6 2" xfId="125" xr:uid="{75B1E172-9A69-474B-A850-C985BD189327}"/>
    <cellStyle name="千分位 6 2 2" xfId="126" xr:uid="{26CF3092-86DF-CA4B-A4E7-9F3395B5F70D}"/>
    <cellStyle name="千分位 6 3" xfId="127" xr:uid="{CEE847BC-BFAE-6A4D-840A-FED041F65940}"/>
    <cellStyle name="千分位 6 3 2" xfId="128" xr:uid="{01F5818E-7ED7-CF4B-8409-899D5D6A97B4}"/>
    <cellStyle name="千分位 6 4" xfId="129" xr:uid="{86389ED7-2ADC-0148-9DED-3558BFAA6AA6}"/>
    <cellStyle name="千分位 6 5" xfId="130" xr:uid="{B1BC89D9-6E91-C64F-A8B8-D7C240B675CC}"/>
    <cellStyle name="千分位 6 5 2" xfId="131" xr:uid="{C7909C06-4AFF-7B4F-8FA1-5C93114CDA4F}"/>
    <cellStyle name="千分位 6 6" xfId="132" xr:uid="{4E82B324-2DFE-7843-901D-0D5953CB53C9}"/>
    <cellStyle name="千分位 7" xfId="133" xr:uid="{57BCCBCD-F0B7-734F-AC1E-583620D4FB3B}"/>
    <cellStyle name="千分位[0] 2" xfId="134" xr:uid="{30FA282F-D4B0-054C-B3B1-C4E1F4104147}"/>
    <cellStyle name="千分位[0] 2 2" xfId="135" xr:uid="{5FEB04D2-C576-2544-9461-460315653D94}"/>
    <cellStyle name="工料" xfId="136" xr:uid="{402EA678-C628-3D49-9400-FB7E0B7A9CC5}"/>
    <cellStyle name="文字" xfId="137" xr:uid="{D5B119F9-927C-6A41-875D-C865C835B16B}"/>
    <cellStyle name="未定義" xfId="138" xr:uid="{DA001119-1336-424F-8DFE-0F579CFFAABA}"/>
    <cellStyle name="好_空調預算1011001" xfId="139" xr:uid="{877000D2-AF07-F143-9CDF-462DB9AC3AB6}"/>
    <cellStyle name="好_昭安國際報價單1019全" xfId="140" xr:uid="{42ED40AE-643B-8A4F-82A2-040A4171ED7C}"/>
    <cellStyle name="好_預算詳細表" xfId="141" xr:uid="{36049F7A-440E-9247-B3C9-68E415E5DF1D}"/>
    <cellStyle name="次表" xfId="142" xr:uid="{167AD385-7DFB-5441-B916-7F6CA9D419B9}"/>
    <cellStyle name="百分比 2" xfId="143" xr:uid="{B18B21E8-7F4B-604F-BE54-D91B9263F1AF}"/>
    <cellStyle name="百分比 3" xfId="144" xr:uid="{E411EDB9-FAAB-F149-8EE4-82B5C6B887CF}"/>
    <cellStyle name="百分比 4" xfId="145" xr:uid="{EF01DD70-7F56-E04A-A69D-D62E610ED966}"/>
    <cellStyle name="百分比 4 2" xfId="146" xr:uid="{FEF8A972-31EC-2340-BF43-5E74536C9FBF}"/>
    <cellStyle name="百分比 4 2 2" xfId="147" xr:uid="{247AF968-B823-2049-BD98-CBB82E3C6E6B}"/>
    <cellStyle name="百分比 5" xfId="148" xr:uid="{56F2175A-DB84-1D4B-85EF-94C4D9852BFD}"/>
    <cellStyle name="百分比 5 2" xfId="149" xr:uid="{17BF1CFF-22CC-6B48-9F6B-FBDA7891DB99}"/>
    <cellStyle name="金額" xfId="150" xr:uid="{EE3AC56C-8C7E-E647-AD2E-120A12CF5A9B}"/>
    <cellStyle name="附註" xfId="151" xr:uid="{F87F9A99-E461-1746-8F07-22F0FDCF4856}"/>
    <cellStyle name="常规_Sheet1" xfId="152" xr:uid="{1140E1FB-D990-5F4C-AB77-83772E244518}"/>
    <cellStyle name="貨幣 [0] 2" xfId="153" xr:uid="{D1818CED-7AD9-1541-AFC9-69AE93791174}"/>
    <cellStyle name="貨幣 [0] 2 2" xfId="154" xr:uid="{2B7F5A03-0129-FE43-97DD-4C8FF85D9419}"/>
    <cellStyle name="貨幣 2" xfId="155" xr:uid="{6ADEF109-B69E-344D-83EA-B83902ACE828}"/>
    <cellStyle name="貨幣[0]" xfId="156" xr:uid="{E11F9B7B-853E-9348-A4FE-B7C6E599654A}"/>
    <cellStyle name="單位" xfId="157" xr:uid="{E0087824-D12F-A146-821B-B0DCB2582EEC}"/>
    <cellStyle name="項目" xfId="158" xr:uid="{25737AAB-7AA6-3640-823E-9B125D5C52DE}"/>
    <cellStyle name="數量" xfId="159" xr:uid="{5C69A553-46E8-7C44-AF29-4FA54CBD9885}"/>
    <cellStyle name="樣式 1" xfId="160" xr:uid="{3DF0B517-1BF2-FC41-BEBC-6BEFA34331C0}"/>
    <cellStyle name="縮2" xfId="161" xr:uid="{42A5B2FF-1ACB-EE44-9041-C3301ADC8B99}"/>
    <cellStyle name="壞_空調預算1011001" xfId="162" xr:uid="{892D880F-44E5-2D44-A8C7-C6F6805F5270}"/>
    <cellStyle name="壞_昭安國際報價單1019全" xfId="163" xr:uid="{583E49EA-5CC7-084E-87CE-A5DA91501574}"/>
    <cellStyle name="壞_預算詳細表" xfId="164" xr:uid="{EF6A4505-D1AD-BE42-9505-C596BBA2C3FC}"/>
    <cellStyle name="콤마 [0]_L601CPT" xfId="165" xr:uid="{418FC846-FEC1-C140-A440-528DDA97E4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5" Type="http://purl.oclc.org/ooxml/officeDocument/relationships/calcChain" Target="calcChain.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xdr:twoCellAnchor>
    <xdr:from>
      <xdr:col>0</xdr:col>
      <xdr:colOff>337185</xdr:colOff>
      <xdr:row>0</xdr:row>
      <xdr:rowOff>15240</xdr:rowOff>
    </xdr:from>
    <xdr:to>
      <xdr:col>8</xdr:col>
      <xdr:colOff>681753</xdr:colOff>
      <xdr:row>1</xdr:row>
      <xdr:rowOff>76408</xdr:rowOff>
    </xdr:to>
    <xdr:sp macro="" textlink="">
      <xdr:nvSpPr>
        <xdr:cNvPr id="2" name="WordArt 3">
          <a:extLst>
            <a:ext uri="{FF2B5EF4-FFF2-40B4-BE49-F238E27FC236}">
              <a16:creationId xmlns:a16="http://schemas.microsoft.com/office/drawing/2014/main" id="{A16096F4-6FDA-BDD6-0A3C-8BBA783BBADC}"/>
            </a:ext>
          </a:extLst>
        </xdr:cNvPr>
        <xdr:cNvSpPr>
          <a:spLocks noChangeArrowheads="1" noChangeShapeType="1" noTextEdit="1"/>
        </xdr:cNvSpPr>
      </xdr:nvSpPr>
      <xdr:spPr bwMode="auto">
        <a:xfrm>
          <a:off x="299085" y="15240"/>
          <a:ext cx="6079369" cy="609808"/>
        </a:xfrm>
        <a:prstGeom prst="rect">
          <a:avLst/>
        </a:prstGeom>
      </xdr:spPr>
      <xdr:txBody>
        <a:bodyPr wrap="none" fromWordArt="1">
          <a:prstTxWarp prst="textPlain">
            <a:avLst>
              <a:gd name="adj" fmla="val 50000"/>
            </a:avLst>
          </a:prstTxWarp>
        </a:bodyPr>
        <a:lstStyle/>
        <a:p>
          <a:pPr algn="ctr" rtl="0"/>
          <a:r>
            <a:rPr lang="zh-TW" altLang="en-US" sz="3200" kern="10" spc="0">
              <a:ln w="9525">
                <a:noFill/>
                <a:round/>
                <a:headEnd/>
                <a:tailEnd/>
              </a:ln>
              <a:solidFill>
                <a:srgbClr val="336699"/>
              </a:solidFill>
              <a:effectLst>
                <a:outerShdw dist="45791" dir="2021404" algn="ctr" rotWithShape="0">
                  <a:srgbClr val="B2B2B2">
                    <a:alpha val="80%"/>
                  </a:srgbClr>
                </a:outerShdw>
              </a:effectLst>
              <a:latin typeface="標楷體"/>
              <a:ea typeface="標楷體"/>
            </a:rPr>
            <a:t>鐵正綱工程興業有限公司</a:t>
          </a:r>
        </a:p>
      </xdr:txBody>
    </xdr:sp>
    <xdr:clientData/>
  </xdr:twoCellAnchor>
  <xdr:twoCellAnchor>
    <xdr:from>
      <xdr:col>0</xdr:col>
      <xdr:colOff>337185</xdr:colOff>
      <xdr:row>0</xdr:row>
      <xdr:rowOff>15240</xdr:rowOff>
    </xdr:from>
    <xdr:to>
      <xdr:col>8</xdr:col>
      <xdr:colOff>681753</xdr:colOff>
      <xdr:row>1</xdr:row>
      <xdr:rowOff>76408</xdr:rowOff>
    </xdr:to>
    <xdr:sp macro="" textlink="">
      <xdr:nvSpPr>
        <xdr:cNvPr id="3" name="WordArt 3">
          <a:extLst>
            <a:ext uri="{FF2B5EF4-FFF2-40B4-BE49-F238E27FC236}">
              <a16:creationId xmlns:a16="http://schemas.microsoft.com/office/drawing/2014/main" id="{B5A5F10A-9390-310C-A81A-C69F7BCD70F0}"/>
            </a:ext>
          </a:extLst>
        </xdr:cNvPr>
        <xdr:cNvSpPr>
          <a:spLocks noChangeArrowheads="1" noChangeShapeType="1" noTextEdit="1"/>
        </xdr:cNvSpPr>
      </xdr:nvSpPr>
      <xdr:spPr bwMode="auto">
        <a:xfrm>
          <a:off x="299085" y="15240"/>
          <a:ext cx="6079369" cy="609808"/>
        </a:xfrm>
        <a:prstGeom prst="rect">
          <a:avLst/>
        </a:prstGeom>
      </xdr:spPr>
      <xdr:txBody>
        <a:bodyPr wrap="none" fromWordArt="1">
          <a:prstTxWarp prst="textPlain">
            <a:avLst>
              <a:gd name="adj" fmla="val 50000"/>
            </a:avLst>
          </a:prstTxWarp>
        </a:bodyPr>
        <a:lstStyle/>
        <a:p>
          <a:pPr algn="ctr" rtl="0"/>
          <a:r>
            <a:rPr lang="zh-TW" altLang="en-US" sz="3200" kern="10" spc="0">
              <a:ln w="9525">
                <a:noFill/>
                <a:round/>
                <a:headEnd/>
                <a:tailEnd/>
              </a:ln>
              <a:solidFill>
                <a:srgbClr val="336699"/>
              </a:solidFill>
              <a:effectLst>
                <a:outerShdw dist="45791" dir="2021404" algn="ctr" rotWithShape="0">
                  <a:srgbClr val="B2B2B2">
                    <a:alpha val="80%"/>
                  </a:srgbClr>
                </a:outerShdw>
              </a:effectLst>
              <a:latin typeface="標楷體"/>
              <a:ea typeface="標楷體"/>
            </a:rPr>
            <a:t>鐵正綱工程興業有限公司</a:t>
          </a:r>
        </a:p>
      </xdr:txBody>
    </xdr:sp>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A14-16FC-3443-AA0D-98FC9AC15380}">
  <sheetPr>
    <pageSetUpPr fitToPage="1"/>
  </sheetPr>
  <dimension ref="A1:W59"/>
  <sheetViews>
    <sheetView tabSelected="1" view="pageBreakPreview" topLeftCell="A20" zoomScale="94" zoomScaleNormal="100" zoomScaleSheetLayoutView="94" workbookViewId="0">
      <selection activeCell="L44" sqref="L44"/>
    </sheetView>
  </sheetViews>
  <sheetFormatPr baseColWidth="10" defaultColWidth="8.6640625" defaultRowHeight="16"/>
  <cols>
    <col min="1" max="1" width="5.6640625" style="2" customWidth="1"/>
    <col min="2" max="2" width="7.6640625" style="2" customWidth="1"/>
    <col min="3" max="3" width="4.6640625" style="2" customWidth="1"/>
    <col min="4" max="4" width="26.5" style="2" customWidth="1"/>
    <col min="5" max="5" width="5.6640625" style="7" customWidth="1"/>
    <col min="6" max="6" width="6.1640625" style="2" customWidth="1"/>
    <col min="7" max="7" width="13" style="7" customWidth="1"/>
    <col min="8" max="8" width="13.6640625" style="123" customWidth="1"/>
    <col min="9" max="9" width="16.6640625" style="123" customWidth="1"/>
    <col min="10" max="10" width="10" style="6" bestFit="1" customWidth="1"/>
    <col min="11" max="11" width="8.1640625" style="7" customWidth="1"/>
    <col min="12" max="12" width="11.6640625" style="7" customWidth="1"/>
    <col min="13" max="13" width="6.6640625" style="8" customWidth="1"/>
    <col min="14" max="14" width="18.6640625" style="7" customWidth="1"/>
    <col min="15" max="15" width="15.6640625" style="7" customWidth="1"/>
    <col min="16" max="16" width="11.5" style="7" bestFit="1" customWidth="1"/>
    <col min="17" max="17" width="4.1640625" style="7" customWidth="1"/>
    <col min="18" max="18" width="6.33203125" style="7" customWidth="1"/>
    <col min="19" max="19" width="9.1640625" style="9" bestFit="1" customWidth="1"/>
    <col min="20" max="20" width="7" style="10" customWidth="1"/>
    <col min="21" max="21" width="4.1640625" style="7" customWidth="1"/>
    <col min="22" max="23" width="5.5" style="7" customWidth="1"/>
    <col min="24" max="25" width="7.1640625" style="7" customWidth="1"/>
    <col min="26" max="16384" width="8.6640625" style="7"/>
  </cols>
  <sheetData>
    <row r="1" spans="1:22" ht="43.25" customHeight="1">
      <c r="A1" s="1"/>
      <c r="B1" s="1"/>
      <c r="E1" s="3"/>
      <c r="F1" s="1"/>
      <c r="G1" s="4"/>
      <c r="H1" s="5"/>
      <c r="I1" s="5"/>
    </row>
    <row r="2" spans="1:22" ht="30.5" customHeight="1" thickBot="1">
      <c r="A2" s="234" t="s">
        <v>59</v>
      </c>
      <c r="B2" s="234"/>
      <c r="C2" s="234"/>
      <c r="D2" s="234"/>
      <c r="E2" s="234"/>
      <c r="F2" s="234"/>
      <c r="G2" s="234"/>
      <c r="H2" s="234"/>
      <c r="I2" s="234"/>
      <c r="N2" s="176"/>
      <c r="O2" s="45"/>
    </row>
    <row r="3" spans="1:22" ht="20" customHeight="1">
      <c r="A3" s="235" t="s">
        <v>58</v>
      </c>
      <c r="B3" s="236"/>
      <c r="C3" s="236"/>
      <c r="D3" s="236"/>
      <c r="E3" s="237"/>
      <c r="F3" s="238" t="s">
        <v>124</v>
      </c>
      <c r="G3" s="239"/>
      <c r="H3" s="239"/>
      <c r="I3" s="240"/>
      <c r="J3" s="11"/>
      <c r="K3" s="12"/>
      <c r="L3" s="13"/>
      <c r="M3" s="14"/>
      <c r="N3" s="177"/>
      <c r="O3" s="45"/>
    </row>
    <row r="4" spans="1:22" ht="20" customHeight="1">
      <c r="A4" s="220" t="s">
        <v>125</v>
      </c>
      <c r="B4" s="221"/>
      <c r="C4" s="221"/>
      <c r="D4" s="221"/>
      <c r="E4" s="222"/>
      <c r="F4" s="241" t="s">
        <v>126</v>
      </c>
      <c r="G4" s="242"/>
      <c r="H4" s="242"/>
      <c r="I4" s="243"/>
      <c r="J4" s="11"/>
      <c r="K4" s="12" t="s">
        <v>0</v>
      </c>
      <c r="L4" s="16"/>
      <c r="M4" s="17"/>
      <c r="N4" s="178"/>
      <c r="O4" s="64"/>
    </row>
    <row r="5" spans="1:22" ht="20" customHeight="1">
      <c r="A5" s="220" t="s">
        <v>89</v>
      </c>
      <c r="B5" s="221"/>
      <c r="C5" s="221"/>
      <c r="D5" s="221"/>
      <c r="E5" s="222"/>
      <c r="F5" s="18" t="s">
        <v>60</v>
      </c>
      <c r="G5" s="15"/>
      <c r="H5" s="19"/>
      <c r="I5" s="20"/>
      <c r="J5" s="11"/>
      <c r="K5" s="12"/>
      <c r="L5" s="21"/>
      <c r="N5" s="8"/>
      <c r="O5" s="129" t="str">
        <f>B25</f>
        <v>基礎Ø36*1400L*14支(雙頭牙)</v>
      </c>
      <c r="P5" s="130"/>
      <c r="R5" s="131" t="s">
        <v>12</v>
      </c>
      <c r="T5" s="22"/>
    </row>
    <row r="6" spans="1:22" ht="17" customHeight="1">
      <c r="A6" s="23" t="s">
        <v>13</v>
      </c>
      <c r="B6" s="223" t="s">
        <v>1</v>
      </c>
      <c r="C6" s="224"/>
      <c r="D6" s="224"/>
      <c r="E6" s="225"/>
      <c r="F6" s="24" t="s">
        <v>14</v>
      </c>
      <c r="G6" s="25" t="s">
        <v>2</v>
      </c>
      <c r="H6" s="26" t="s">
        <v>3</v>
      </c>
      <c r="I6" s="27" t="s">
        <v>4</v>
      </c>
      <c r="J6" s="28" t="s">
        <v>5</v>
      </c>
      <c r="K6" s="29" t="s">
        <v>6</v>
      </c>
      <c r="L6" s="30" t="s">
        <v>7</v>
      </c>
      <c r="M6" s="31" t="s">
        <v>82</v>
      </c>
      <c r="N6" s="32"/>
      <c r="O6" s="132" t="s">
        <v>15</v>
      </c>
      <c r="P6" s="133">
        <v>180</v>
      </c>
      <c r="Q6" s="133" t="s">
        <v>16</v>
      </c>
      <c r="R6" s="134">
        <v>31</v>
      </c>
      <c r="S6" s="135">
        <f>P6*R6</f>
        <v>5580</v>
      </c>
      <c r="T6" s="136"/>
    </row>
    <row r="7" spans="1:22" ht="17" customHeight="1">
      <c r="A7" s="33" t="s">
        <v>18</v>
      </c>
      <c r="B7" s="137" t="s">
        <v>19</v>
      </c>
      <c r="C7" s="34"/>
      <c r="D7" s="34"/>
      <c r="E7" s="35"/>
      <c r="F7" s="24"/>
      <c r="G7" s="25"/>
      <c r="H7" s="36"/>
      <c r="I7" s="37"/>
      <c r="J7" s="11"/>
      <c r="K7" s="12"/>
      <c r="L7" s="13"/>
      <c r="M7" s="6" t="s">
        <v>83</v>
      </c>
      <c r="N7" s="32"/>
      <c r="O7" s="132" t="s">
        <v>17</v>
      </c>
      <c r="P7" s="133">
        <v>294</v>
      </c>
      <c r="Q7" s="133" t="s">
        <v>17</v>
      </c>
      <c r="R7" s="134">
        <v>5</v>
      </c>
      <c r="S7" s="135">
        <f>P7*R7</f>
        <v>1470</v>
      </c>
      <c r="T7" s="136"/>
    </row>
    <row r="8" spans="1:22" ht="17" customHeight="1">
      <c r="A8" s="33" t="s">
        <v>22</v>
      </c>
      <c r="B8" s="38" t="s">
        <v>23</v>
      </c>
      <c r="C8" s="34"/>
      <c r="D8" s="34"/>
      <c r="E8" s="35"/>
      <c r="F8" s="24"/>
      <c r="G8" s="39"/>
      <c r="H8" s="36"/>
      <c r="I8" s="40">
        <f>SUM(I9:I23)</f>
        <v>5164548</v>
      </c>
      <c r="J8" s="11"/>
      <c r="K8" s="12"/>
      <c r="L8" s="13"/>
      <c r="O8" s="138" t="s">
        <v>20</v>
      </c>
      <c r="P8" s="139">
        <v>21</v>
      </c>
      <c r="Q8" s="139" t="s">
        <v>21</v>
      </c>
      <c r="R8" s="134">
        <v>250</v>
      </c>
      <c r="S8" s="135">
        <f>P8*R8</f>
        <v>5250</v>
      </c>
    </row>
    <row r="9" spans="1:22" ht="17" customHeight="1">
      <c r="A9" s="23">
        <v>1</v>
      </c>
      <c r="B9" s="41" t="s">
        <v>61</v>
      </c>
      <c r="C9" s="34"/>
      <c r="D9" s="34"/>
      <c r="E9" s="42" t="s">
        <v>24</v>
      </c>
      <c r="F9" s="24" t="s">
        <v>25</v>
      </c>
      <c r="G9" s="43">
        <v>305</v>
      </c>
      <c r="H9" s="127">
        <f t="shared" ref="H9:H23" si="0">ROUND(J9*K9,1)</f>
        <v>29.4</v>
      </c>
      <c r="I9" s="171">
        <f t="shared" ref="I9:I15" si="1">ROUND(G9*H9,0)</f>
        <v>8967</v>
      </c>
      <c r="J9" s="11">
        <f>(25+1.5+0.2)*1.05</f>
        <v>28.035</v>
      </c>
      <c r="K9" s="12">
        <v>1.05</v>
      </c>
      <c r="L9" s="44">
        <f t="shared" ref="L9:L23" si="2">G9*J9</f>
        <v>8550.6749999999993</v>
      </c>
      <c r="M9" s="8" t="s">
        <v>71</v>
      </c>
      <c r="O9" s="140"/>
      <c r="P9" s="141"/>
      <c r="Q9" s="141"/>
      <c r="R9" s="142"/>
      <c r="S9" s="143">
        <f>SUM(S6:S8)</f>
        <v>12300</v>
      </c>
      <c r="T9" s="144">
        <f>SUM(S9/P8)</f>
        <v>585.71428571428567</v>
      </c>
      <c r="U9" s="145" t="s">
        <v>21</v>
      </c>
    </row>
    <row r="10" spans="1:22" ht="17" customHeight="1">
      <c r="A10" s="23">
        <v>2</v>
      </c>
      <c r="B10" s="41" t="s">
        <v>62</v>
      </c>
      <c r="C10" s="34"/>
      <c r="D10" s="34"/>
      <c r="E10" s="42" t="s">
        <v>27</v>
      </c>
      <c r="F10" s="24" t="s">
        <v>16</v>
      </c>
      <c r="G10" s="43">
        <v>2879</v>
      </c>
      <c r="H10" s="127">
        <f t="shared" si="0"/>
        <v>28.2</v>
      </c>
      <c r="I10" s="171">
        <f t="shared" si="1"/>
        <v>81188</v>
      </c>
      <c r="J10" s="11">
        <f>(25+0.6)*1.05</f>
        <v>26.880000000000003</v>
      </c>
      <c r="K10" s="12">
        <v>1.05</v>
      </c>
      <c r="L10" s="44">
        <f t="shared" si="2"/>
        <v>77387.520000000004</v>
      </c>
      <c r="M10" s="8" t="s">
        <v>72</v>
      </c>
      <c r="O10" s="186" t="s">
        <v>95</v>
      </c>
      <c r="P10" s="180">
        <v>14</v>
      </c>
      <c r="Q10" s="186" t="s">
        <v>100</v>
      </c>
      <c r="R10" s="180">
        <v>380</v>
      </c>
      <c r="S10" s="190">
        <f>R10*P10</f>
        <v>5320</v>
      </c>
    </row>
    <row r="11" spans="1:22" ht="17" customHeight="1">
      <c r="A11" s="23">
        <v>3</v>
      </c>
      <c r="B11" s="41" t="s">
        <v>28</v>
      </c>
      <c r="C11" s="34"/>
      <c r="D11" s="34"/>
      <c r="E11" s="42" t="s">
        <v>24</v>
      </c>
      <c r="F11" s="24" t="s">
        <v>11</v>
      </c>
      <c r="G11" s="43">
        <v>6252</v>
      </c>
      <c r="H11" s="127">
        <f>ROUND(J11*K11,1)</f>
        <v>28.2</v>
      </c>
      <c r="I11" s="171">
        <f>ROUND(G11*H11,0)</f>
        <v>176306</v>
      </c>
      <c r="J11" s="11">
        <f>(25+0.6)*1.05</f>
        <v>26.880000000000003</v>
      </c>
      <c r="K11" s="12">
        <v>1.05</v>
      </c>
      <c r="L11" s="44">
        <f>G11*J11</f>
        <v>168053.76000000001</v>
      </c>
      <c r="M11" s="8" t="s">
        <v>73</v>
      </c>
      <c r="N11" s="146"/>
      <c r="O11" s="186" t="s">
        <v>96</v>
      </c>
      <c r="P11" s="180">
        <v>56</v>
      </c>
      <c r="Q11" s="186" t="s">
        <v>101</v>
      </c>
      <c r="R11" s="180">
        <v>40</v>
      </c>
      <c r="S11" s="190">
        <f>R11*P11</f>
        <v>2240</v>
      </c>
      <c r="V11" s="45"/>
    </row>
    <row r="12" spans="1:22" ht="17" customHeight="1">
      <c r="A12" s="23">
        <v>4</v>
      </c>
      <c r="B12" s="41" t="s">
        <v>63</v>
      </c>
      <c r="C12" s="34"/>
      <c r="D12" s="34"/>
      <c r="E12" s="42" t="s">
        <v>27</v>
      </c>
      <c r="F12" s="24" t="s">
        <v>16</v>
      </c>
      <c r="G12" s="43">
        <v>14239</v>
      </c>
      <c r="H12" s="127">
        <f t="shared" si="0"/>
        <v>29.5</v>
      </c>
      <c r="I12" s="171">
        <f t="shared" si="1"/>
        <v>420051</v>
      </c>
      <c r="J12" s="11">
        <f>(25+1.5+0.3)*1.05</f>
        <v>28.14</v>
      </c>
      <c r="K12" s="12">
        <v>1.05</v>
      </c>
      <c r="L12" s="44">
        <f t="shared" si="2"/>
        <v>400685.46</v>
      </c>
      <c r="M12" s="8" t="s">
        <v>74</v>
      </c>
      <c r="N12" s="146"/>
      <c r="O12" s="186" t="s">
        <v>97</v>
      </c>
      <c r="P12" s="180">
        <v>14</v>
      </c>
      <c r="Q12" s="186" t="s">
        <v>101</v>
      </c>
      <c r="R12" s="180">
        <v>11</v>
      </c>
      <c r="S12" s="190">
        <f>R12*P12</f>
        <v>154</v>
      </c>
    </row>
    <row r="13" spans="1:22" ht="17" customHeight="1">
      <c r="A13" s="23">
        <v>5</v>
      </c>
      <c r="B13" s="41" t="s">
        <v>69</v>
      </c>
      <c r="C13" s="34"/>
      <c r="D13" s="34"/>
      <c r="E13" s="42" t="s">
        <v>27</v>
      </c>
      <c r="F13" s="24" t="s">
        <v>16</v>
      </c>
      <c r="G13" s="43">
        <v>1764</v>
      </c>
      <c r="H13" s="127">
        <f t="shared" si="0"/>
        <v>29.2</v>
      </c>
      <c r="I13" s="171">
        <f t="shared" si="1"/>
        <v>51509</v>
      </c>
      <c r="J13" s="11">
        <f>(25+1.5)*1.05</f>
        <v>27.825000000000003</v>
      </c>
      <c r="K13" s="12">
        <v>1.05</v>
      </c>
      <c r="L13" s="44">
        <f t="shared" si="2"/>
        <v>49083.3</v>
      </c>
      <c r="M13" s="8" t="s">
        <v>75</v>
      </c>
      <c r="N13" s="146"/>
      <c r="O13" s="213" t="s">
        <v>115</v>
      </c>
      <c r="P13" s="180">
        <v>14</v>
      </c>
      <c r="Q13" s="186" t="s">
        <v>100</v>
      </c>
      <c r="R13" s="180">
        <v>128.5</v>
      </c>
      <c r="S13" s="190">
        <v>1800</v>
      </c>
    </row>
    <row r="14" spans="1:22" ht="17" customHeight="1">
      <c r="A14" s="23">
        <v>6</v>
      </c>
      <c r="B14" s="41" t="s">
        <v>64</v>
      </c>
      <c r="C14" s="34"/>
      <c r="D14" s="34"/>
      <c r="E14" s="42" t="s">
        <v>24</v>
      </c>
      <c r="F14" s="24" t="s">
        <v>11</v>
      </c>
      <c r="G14" s="43">
        <v>13491</v>
      </c>
      <c r="H14" s="127">
        <f>ROUND(J14*K14,1)</f>
        <v>28.2</v>
      </c>
      <c r="I14" s="171">
        <f>ROUND(G14*H14,0)</f>
        <v>380446</v>
      </c>
      <c r="J14" s="11">
        <f>(25+0.6)*1.05</f>
        <v>26.880000000000003</v>
      </c>
      <c r="K14" s="12">
        <v>1.05</v>
      </c>
      <c r="L14" s="44">
        <f>G14*J14</f>
        <v>362638.08000000002</v>
      </c>
      <c r="M14" s="8" t="s">
        <v>76</v>
      </c>
      <c r="N14" s="146"/>
      <c r="O14" s="186" t="s">
        <v>99</v>
      </c>
      <c r="P14" s="180">
        <v>1</v>
      </c>
      <c r="Q14" s="186" t="s">
        <v>102</v>
      </c>
      <c r="R14" s="180">
        <v>590</v>
      </c>
      <c r="S14" s="190">
        <f>R14*P14</f>
        <v>590</v>
      </c>
    </row>
    <row r="15" spans="1:22" ht="17" customHeight="1">
      <c r="A15" s="23">
        <v>7</v>
      </c>
      <c r="B15" s="41" t="s">
        <v>31</v>
      </c>
      <c r="C15" s="34"/>
      <c r="D15" s="34"/>
      <c r="E15" s="42" t="s">
        <v>27</v>
      </c>
      <c r="F15" s="24" t="s">
        <v>16</v>
      </c>
      <c r="G15" s="43">
        <v>24297</v>
      </c>
      <c r="H15" s="127">
        <f t="shared" si="0"/>
        <v>29.2</v>
      </c>
      <c r="I15" s="171">
        <f t="shared" si="1"/>
        <v>709472</v>
      </c>
      <c r="J15" s="11">
        <f>(25+1.5)*1.05</f>
        <v>27.825000000000003</v>
      </c>
      <c r="K15" s="12">
        <v>1.05</v>
      </c>
      <c r="L15" s="44">
        <f t="shared" si="2"/>
        <v>676064.02500000002</v>
      </c>
      <c r="M15" s="8" t="s">
        <v>77</v>
      </c>
      <c r="N15" s="146"/>
      <c r="S15" s="9">
        <f>SUM(S10:S14)</f>
        <v>10104</v>
      </c>
      <c r="T15" s="10" t="s">
        <v>102</v>
      </c>
    </row>
    <row r="16" spans="1:22" ht="17" customHeight="1">
      <c r="A16" s="23">
        <v>8</v>
      </c>
      <c r="B16" s="41" t="s">
        <v>65</v>
      </c>
      <c r="C16" s="34"/>
      <c r="D16" s="34"/>
      <c r="E16" s="42" t="s">
        <v>24</v>
      </c>
      <c r="F16" s="24" t="s">
        <v>11</v>
      </c>
      <c r="G16" s="43">
        <v>40987</v>
      </c>
      <c r="H16" s="127">
        <f>ROUND(J16*K16,1)</f>
        <v>29.5</v>
      </c>
      <c r="I16" s="171">
        <f t="shared" ref="I16:I23" si="3">ROUND(G16*H16,0)</f>
        <v>1209117</v>
      </c>
      <c r="J16" s="11">
        <f>(25+1.5+0.3)*1.05</f>
        <v>28.14</v>
      </c>
      <c r="K16" s="12">
        <v>1.05</v>
      </c>
      <c r="L16" s="44">
        <f>G16*J16</f>
        <v>1153374.18</v>
      </c>
      <c r="M16" s="8" t="s">
        <v>78</v>
      </c>
      <c r="N16" s="146"/>
      <c r="O16" s="129" t="str">
        <f>B26</f>
        <v>基礎Ø32*1400L*12支(雙頭牙)</v>
      </c>
      <c r="P16" s="130"/>
      <c r="R16" s="131" t="s">
        <v>26</v>
      </c>
      <c r="T16" s="144"/>
      <c r="V16" s="45"/>
    </row>
    <row r="17" spans="1:23" ht="17" customHeight="1">
      <c r="A17" s="23">
        <v>9</v>
      </c>
      <c r="B17" s="41" t="s">
        <v>66</v>
      </c>
      <c r="C17" s="34"/>
      <c r="D17" s="34"/>
      <c r="E17" s="42"/>
      <c r="F17" s="24" t="s">
        <v>11</v>
      </c>
      <c r="G17" s="43">
        <v>137</v>
      </c>
      <c r="H17" s="127">
        <f>ROUND(J17*K17,1)</f>
        <v>27.1</v>
      </c>
      <c r="I17" s="171">
        <f t="shared" si="3"/>
        <v>3713</v>
      </c>
      <c r="J17" s="11">
        <f>24.6*1.05</f>
        <v>25.830000000000002</v>
      </c>
      <c r="K17" s="12">
        <v>1.05</v>
      </c>
      <c r="L17" s="44">
        <f>G17*J17</f>
        <v>3538.71</v>
      </c>
      <c r="M17" s="8" t="s">
        <v>79</v>
      </c>
      <c r="N17" s="146"/>
      <c r="O17" s="132" t="s">
        <v>15</v>
      </c>
      <c r="P17" s="133">
        <v>81</v>
      </c>
      <c r="Q17" s="133" t="s">
        <v>16</v>
      </c>
      <c r="R17" s="134">
        <v>31</v>
      </c>
      <c r="S17" s="135">
        <f>P17*R17</f>
        <v>2511</v>
      </c>
      <c r="T17" s="144"/>
      <c r="V17" s="45"/>
    </row>
    <row r="18" spans="1:23" ht="17" customHeight="1">
      <c r="A18" s="23">
        <v>10</v>
      </c>
      <c r="B18" s="46" t="s">
        <v>67</v>
      </c>
      <c r="C18" s="34"/>
      <c r="D18" s="34"/>
      <c r="E18" s="42"/>
      <c r="F18" s="24" t="s">
        <v>11</v>
      </c>
      <c r="G18" s="43">
        <v>2996</v>
      </c>
      <c r="H18" s="127">
        <f>ROUND(J18*K18,1)</f>
        <v>26.8</v>
      </c>
      <c r="I18" s="171">
        <f t="shared" si="3"/>
        <v>80293</v>
      </c>
      <c r="J18" s="11">
        <f>24.3*1.05</f>
        <v>25.515000000000001</v>
      </c>
      <c r="K18" s="12">
        <v>1.05</v>
      </c>
      <c r="L18" s="44">
        <f>G18*J18</f>
        <v>76442.94</v>
      </c>
      <c r="M18" s="8" t="s">
        <v>80</v>
      </c>
      <c r="N18" s="146"/>
      <c r="O18" s="132" t="s">
        <v>17</v>
      </c>
      <c r="P18" s="133">
        <v>144</v>
      </c>
      <c r="Q18" s="133" t="s">
        <v>17</v>
      </c>
      <c r="R18" s="134">
        <v>5</v>
      </c>
      <c r="S18" s="135">
        <f>P18*R18</f>
        <v>720</v>
      </c>
      <c r="T18" s="144"/>
      <c r="V18" s="45"/>
    </row>
    <row r="19" spans="1:23" ht="17" customHeight="1">
      <c r="A19" s="23">
        <v>11</v>
      </c>
      <c r="B19" s="46" t="s">
        <v>68</v>
      </c>
      <c r="C19" s="34"/>
      <c r="D19" s="34"/>
      <c r="E19" s="42"/>
      <c r="F19" s="24" t="s">
        <v>11</v>
      </c>
      <c r="G19" s="43">
        <v>7719</v>
      </c>
      <c r="H19" s="127">
        <f>ROUND(J19*K19,1)</f>
        <v>26.8</v>
      </c>
      <c r="I19" s="171">
        <f t="shared" si="3"/>
        <v>206869</v>
      </c>
      <c r="J19" s="11">
        <f>24.3*1.05</f>
        <v>25.515000000000001</v>
      </c>
      <c r="K19" s="12">
        <v>1.05</v>
      </c>
      <c r="L19" s="44">
        <f>G19*J19</f>
        <v>196950.285</v>
      </c>
      <c r="M19" s="8" t="s">
        <v>81</v>
      </c>
      <c r="N19" s="146"/>
      <c r="O19" s="138" t="s">
        <v>29</v>
      </c>
      <c r="P19" s="139">
        <v>12</v>
      </c>
      <c r="Q19" s="139" t="s">
        <v>30</v>
      </c>
      <c r="R19" s="134">
        <v>250</v>
      </c>
      <c r="S19" s="135">
        <f>P19*R19</f>
        <v>3000</v>
      </c>
      <c r="T19" s="144"/>
      <c r="V19" s="45"/>
    </row>
    <row r="20" spans="1:23" ht="17" customHeight="1">
      <c r="A20" s="23">
        <v>12</v>
      </c>
      <c r="B20" s="46" t="s">
        <v>32</v>
      </c>
      <c r="C20" s="34"/>
      <c r="D20" s="34"/>
      <c r="E20" s="42"/>
      <c r="F20" s="24" t="s">
        <v>11</v>
      </c>
      <c r="G20" s="43">
        <v>23316</v>
      </c>
      <c r="H20" s="127">
        <f t="shared" si="0"/>
        <v>34.200000000000003</v>
      </c>
      <c r="I20" s="171">
        <f t="shared" si="3"/>
        <v>797407</v>
      </c>
      <c r="J20" s="11">
        <f>31*1.05</f>
        <v>32.550000000000004</v>
      </c>
      <c r="K20" s="12">
        <v>1.05</v>
      </c>
      <c r="L20" s="44">
        <f t="shared" si="2"/>
        <v>758935.8</v>
      </c>
      <c r="N20" s="146"/>
      <c r="O20" s="140"/>
      <c r="P20" s="141"/>
      <c r="Q20" s="141"/>
      <c r="R20" s="142"/>
      <c r="S20" s="143">
        <f>SUM(S17:S19)</f>
        <v>6231</v>
      </c>
      <c r="T20" s="144">
        <f>S20/P19</f>
        <v>519.25</v>
      </c>
    </row>
    <row r="21" spans="1:23" ht="17" customHeight="1">
      <c r="A21" s="23">
        <v>13</v>
      </c>
      <c r="B21" s="147" t="s">
        <v>33</v>
      </c>
      <c r="C21" s="34"/>
      <c r="D21" s="47"/>
      <c r="E21" s="48"/>
      <c r="F21" s="24" t="s">
        <v>34</v>
      </c>
      <c r="G21" s="43">
        <v>720</v>
      </c>
      <c r="H21" s="127">
        <f t="shared" si="0"/>
        <v>247.5</v>
      </c>
      <c r="I21" s="171">
        <f t="shared" si="3"/>
        <v>178200</v>
      </c>
      <c r="J21" s="11">
        <v>165</v>
      </c>
      <c r="K21" s="12">
        <v>1.5</v>
      </c>
      <c r="L21" s="44">
        <f t="shared" si="2"/>
        <v>118800</v>
      </c>
      <c r="M21" s="150">
        <v>1613</v>
      </c>
      <c r="N21" s="112" t="s">
        <v>85</v>
      </c>
      <c r="O21" s="186" t="s">
        <v>95</v>
      </c>
      <c r="P21" s="180">
        <v>12</v>
      </c>
      <c r="Q21" s="186" t="s">
        <v>100</v>
      </c>
      <c r="R21" s="180">
        <v>305</v>
      </c>
      <c r="S21" s="190">
        <f>R21*P21</f>
        <v>3660</v>
      </c>
      <c r="U21" s="145" t="s">
        <v>30</v>
      </c>
      <c r="V21" s="45"/>
    </row>
    <row r="22" spans="1:23" ht="17" customHeight="1">
      <c r="A22" s="23">
        <v>14</v>
      </c>
      <c r="B22" s="41" t="s">
        <v>35</v>
      </c>
      <c r="C22" s="34"/>
      <c r="D22" s="47"/>
      <c r="E22" s="48"/>
      <c r="F22" s="24" t="s">
        <v>36</v>
      </c>
      <c r="G22" s="43">
        <v>96</v>
      </c>
      <c r="H22" s="127">
        <f t="shared" si="0"/>
        <v>430</v>
      </c>
      <c r="I22" s="171">
        <f t="shared" si="3"/>
        <v>41280</v>
      </c>
      <c r="J22" s="11">
        <v>215</v>
      </c>
      <c r="K22" s="12">
        <v>2</v>
      </c>
      <c r="L22" s="44">
        <f t="shared" si="2"/>
        <v>20640</v>
      </c>
      <c r="N22" s="146" t="s">
        <v>94</v>
      </c>
      <c r="O22" s="186" t="s">
        <v>96</v>
      </c>
      <c r="P22" s="180">
        <v>48</v>
      </c>
      <c r="Q22" s="186" t="s">
        <v>101</v>
      </c>
      <c r="R22" s="180">
        <v>28</v>
      </c>
      <c r="S22" s="190">
        <f>R22*P22</f>
        <v>1344</v>
      </c>
      <c r="V22" s="45"/>
    </row>
    <row r="23" spans="1:23" ht="17" customHeight="1">
      <c r="A23" s="23">
        <v>15</v>
      </c>
      <c r="B23" s="49" t="s">
        <v>70</v>
      </c>
      <c r="C23" s="50"/>
      <c r="D23" s="50"/>
      <c r="E23" s="51"/>
      <c r="F23" s="52" t="s">
        <v>11</v>
      </c>
      <c r="G23" s="53">
        <v>29381</v>
      </c>
      <c r="H23" s="127">
        <f t="shared" si="0"/>
        <v>27.9</v>
      </c>
      <c r="I23" s="171">
        <f t="shared" si="3"/>
        <v>819730</v>
      </c>
      <c r="J23" s="11">
        <v>26.3</v>
      </c>
      <c r="K23" s="12">
        <v>1.06</v>
      </c>
      <c r="L23" s="44">
        <f t="shared" si="2"/>
        <v>772720.3</v>
      </c>
      <c r="M23" s="21" t="s">
        <v>84</v>
      </c>
      <c r="N23" s="146"/>
      <c r="O23" s="186" t="s">
        <v>97</v>
      </c>
      <c r="P23" s="180">
        <v>12</v>
      </c>
      <c r="Q23" s="186" t="s">
        <v>101</v>
      </c>
      <c r="R23" s="180">
        <v>7</v>
      </c>
      <c r="S23" s="190">
        <f>R23*P23</f>
        <v>84</v>
      </c>
      <c r="V23" s="45"/>
    </row>
    <row r="24" spans="1:23" ht="17" customHeight="1">
      <c r="A24" s="54" t="s">
        <v>37</v>
      </c>
      <c r="B24" s="55" t="s">
        <v>98</v>
      </c>
      <c r="C24" s="50"/>
      <c r="D24" s="50"/>
      <c r="E24" s="51"/>
      <c r="F24" s="52"/>
      <c r="G24" s="53"/>
      <c r="H24" s="56"/>
      <c r="I24" s="57">
        <f>SUM(I25:I26)</f>
        <v>436575</v>
      </c>
      <c r="J24" s="11"/>
      <c r="K24" s="12"/>
      <c r="L24" s="44"/>
      <c r="M24" s="125"/>
      <c r="N24" s="146"/>
      <c r="O24" s="213" t="s">
        <v>115</v>
      </c>
      <c r="P24" s="180">
        <v>12</v>
      </c>
      <c r="Q24" s="186" t="s">
        <v>100</v>
      </c>
      <c r="R24" s="180">
        <v>150</v>
      </c>
      <c r="S24" s="190">
        <v>1800</v>
      </c>
      <c r="V24" s="45"/>
    </row>
    <row r="25" spans="1:23" ht="17" customHeight="1">
      <c r="A25" s="58">
        <v>1</v>
      </c>
      <c r="B25" s="148" t="s">
        <v>86</v>
      </c>
      <c r="C25" s="50"/>
      <c r="D25" s="50"/>
      <c r="E25" s="51"/>
      <c r="F25" s="52" t="s">
        <v>38</v>
      </c>
      <c r="G25" s="53">
        <v>21</v>
      </c>
      <c r="H25" s="127">
        <f>ROUND(J25*K25,0)</f>
        <v>14651</v>
      </c>
      <c r="I25" s="171">
        <f>ROUND(G25*H25,0)</f>
        <v>307671</v>
      </c>
      <c r="J25" s="13">
        <f>S15</f>
        <v>10104</v>
      </c>
      <c r="K25" s="12">
        <v>1.45</v>
      </c>
      <c r="L25" s="44">
        <f>G25*J25</f>
        <v>212184</v>
      </c>
      <c r="M25" s="162"/>
      <c r="N25" s="146"/>
      <c r="O25" s="186" t="s">
        <v>99</v>
      </c>
      <c r="P25" s="180">
        <v>1</v>
      </c>
      <c r="Q25" s="186" t="s">
        <v>102</v>
      </c>
      <c r="R25" s="180">
        <v>520</v>
      </c>
      <c r="S25" s="190">
        <f>R25*P25</f>
        <v>520</v>
      </c>
      <c r="V25" s="45"/>
    </row>
    <row r="26" spans="1:23" s="61" customFormat="1" ht="17" customHeight="1">
      <c r="A26" s="58">
        <v>2</v>
      </c>
      <c r="B26" s="148" t="s">
        <v>87</v>
      </c>
      <c r="C26" s="50"/>
      <c r="D26" s="50"/>
      <c r="E26" s="51"/>
      <c r="F26" s="52" t="s">
        <v>38</v>
      </c>
      <c r="G26" s="53">
        <v>12</v>
      </c>
      <c r="H26" s="127">
        <f>ROUND(J26*K26,0)</f>
        <v>10742</v>
      </c>
      <c r="I26" s="171">
        <f>ROUND(G26*H26,0)</f>
        <v>128904</v>
      </c>
      <c r="J26" s="13">
        <f>S26</f>
        <v>7408</v>
      </c>
      <c r="K26" s="12">
        <v>1.45</v>
      </c>
      <c r="L26" s="44">
        <f>G26*J26</f>
        <v>88896</v>
      </c>
      <c r="M26" s="162"/>
      <c r="N26" s="146"/>
      <c r="O26" s="7"/>
      <c r="P26" s="7"/>
      <c r="Q26" s="7"/>
      <c r="R26" s="7"/>
      <c r="S26" s="9">
        <f>SUM(S21:S25)</f>
        <v>7408</v>
      </c>
      <c r="T26" s="10" t="s">
        <v>102</v>
      </c>
      <c r="V26" s="45"/>
      <c r="W26" s="7"/>
    </row>
    <row r="27" spans="1:23" s="61" customFormat="1" ht="17" customHeight="1">
      <c r="A27" s="154" t="s">
        <v>111</v>
      </c>
      <c r="B27" s="59" t="s">
        <v>39</v>
      </c>
      <c r="C27" s="50"/>
      <c r="D27" s="50"/>
      <c r="E27" s="51"/>
      <c r="F27" s="52"/>
      <c r="G27" s="53"/>
      <c r="H27" s="56"/>
      <c r="I27" s="57">
        <f>SUM(I28:I37)</f>
        <v>4511808</v>
      </c>
      <c r="J27" s="60"/>
      <c r="K27" s="12"/>
      <c r="L27" s="44"/>
      <c r="M27" s="162"/>
      <c r="N27" s="146"/>
      <c r="O27" s="185" t="s">
        <v>90</v>
      </c>
      <c r="P27" s="7"/>
      <c r="Q27" s="7"/>
      <c r="R27" s="7"/>
      <c r="V27" s="45"/>
      <c r="W27" s="7"/>
    </row>
    <row r="28" spans="1:23" s="61" customFormat="1" ht="17" customHeight="1">
      <c r="A28" s="155"/>
      <c r="B28" s="62" t="s">
        <v>40</v>
      </c>
      <c r="C28" s="50"/>
      <c r="D28" s="50"/>
      <c r="E28" s="51"/>
      <c r="F28" s="52"/>
      <c r="G28" s="63"/>
      <c r="H28" s="127"/>
      <c r="I28" s="128"/>
      <c r="J28" s="60"/>
      <c r="K28" s="12"/>
      <c r="L28" s="44"/>
      <c r="M28" s="162"/>
      <c r="N28" s="45"/>
      <c r="O28" s="186" t="s">
        <v>91</v>
      </c>
      <c r="P28" s="180">
        <f>(SUM(G9:G16)+G20)*1.06</f>
        <v>135181.80000000002</v>
      </c>
      <c r="Q28" s="186" t="s">
        <v>93</v>
      </c>
      <c r="R28" s="180">
        <v>8.5</v>
      </c>
      <c r="S28" s="180">
        <f>P28*R28</f>
        <v>1149045.3</v>
      </c>
      <c r="U28" s="157"/>
      <c r="V28" s="7"/>
      <c r="W28" s="7"/>
    </row>
    <row r="29" spans="1:23" s="61" customFormat="1" ht="17" customHeight="1">
      <c r="A29" s="65">
        <v>1</v>
      </c>
      <c r="B29" s="66" t="s">
        <v>41</v>
      </c>
      <c r="C29" s="67"/>
      <c r="D29" s="68"/>
      <c r="E29" s="48"/>
      <c r="F29" s="24" t="s">
        <v>16</v>
      </c>
      <c r="G29" s="53">
        <f>SUM(G9:G20)+M21</f>
        <v>139995</v>
      </c>
      <c r="H29" s="127">
        <f t="shared" ref="H29:H36" si="4">ROUND(J29*K29,1)</f>
        <v>3.6</v>
      </c>
      <c r="I29" s="171">
        <f t="shared" ref="I29:I36" si="5">ROUND(G29*H29,0)</f>
        <v>503982</v>
      </c>
      <c r="J29" s="11">
        <v>3</v>
      </c>
      <c r="K29" s="12">
        <v>1.2</v>
      </c>
      <c r="L29" s="44">
        <f t="shared" ref="L29:L38" si="6">G29*J29</f>
        <v>419985</v>
      </c>
      <c r="M29" s="172"/>
      <c r="N29" s="45"/>
      <c r="O29" s="187" t="s">
        <v>92</v>
      </c>
      <c r="P29" s="188">
        <f>SUM(G17:G19)*1.06</f>
        <v>11503.12</v>
      </c>
      <c r="Q29" s="186" t="s">
        <v>93</v>
      </c>
      <c r="R29" s="179">
        <v>12</v>
      </c>
      <c r="S29" s="180">
        <f>P29*R29</f>
        <v>138037.44</v>
      </c>
      <c r="T29" s="22"/>
      <c r="V29" s="7"/>
      <c r="W29" s="7"/>
    </row>
    <row r="30" spans="1:23" s="61" customFormat="1" ht="17" customHeight="1">
      <c r="A30" s="65">
        <v>2</v>
      </c>
      <c r="B30" s="158" t="s">
        <v>88</v>
      </c>
      <c r="C30" s="67"/>
      <c r="D30" s="68"/>
      <c r="E30" s="48"/>
      <c r="F30" s="24" t="s">
        <v>16</v>
      </c>
      <c r="G30" s="53">
        <f>SUM(G9:G20)+G23+M21</f>
        <v>169376</v>
      </c>
      <c r="H30" s="127">
        <f t="shared" si="4"/>
        <v>11.1</v>
      </c>
      <c r="I30" s="171">
        <f t="shared" si="5"/>
        <v>1880074</v>
      </c>
      <c r="J30" s="11">
        <f>S31/G30</f>
        <v>10.120560528055924</v>
      </c>
      <c r="K30" s="12">
        <v>1.1000000000000001</v>
      </c>
      <c r="L30" s="44">
        <f t="shared" si="6"/>
        <v>1714180.06</v>
      </c>
      <c r="M30" s="163"/>
      <c r="N30" s="45"/>
      <c r="O30" s="187" t="s">
        <v>104</v>
      </c>
      <c r="P30" s="189">
        <f>(G23+M21)*1.06</f>
        <v>32853.64</v>
      </c>
      <c r="Q30" s="186" t="s">
        <v>93</v>
      </c>
      <c r="R30" s="179">
        <v>13</v>
      </c>
      <c r="S30" s="180">
        <f>P30*R30</f>
        <v>427097.32</v>
      </c>
      <c r="T30" s="22"/>
      <c r="V30" s="7"/>
      <c r="W30" s="7"/>
    </row>
    <row r="31" spans="1:23" s="61" customFormat="1" ht="17" customHeight="1">
      <c r="A31" s="65">
        <v>3</v>
      </c>
      <c r="B31" s="69" t="s">
        <v>42</v>
      </c>
      <c r="C31" s="67"/>
      <c r="D31" s="68"/>
      <c r="E31" s="48"/>
      <c r="F31" s="24" t="s">
        <v>43</v>
      </c>
      <c r="G31" s="53">
        <f>SUM(G30+M36+M35)</f>
        <v>170730</v>
      </c>
      <c r="H31" s="127">
        <f t="shared" si="4"/>
        <v>6</v>
      </c>
      <c r="I31" s="171">
        <f t="shared" si="5"/>
        <v>1024380</v>
      </c>
      <c r="J31" s="11">
        <v>4</v>
      </c>
      <c r="K31" s="12">
        <v>1.5</v>
      </c>
      <c r="L31" s="44">
        <f t="shared" si="6"/>
        <v>682920</v>
      </c>
      <c r="M31" s="163"/>
      <c r="N31" s="172"/>
      <c r="O31" s="172"/>
      <c r="P31" s="191"/>
      <c r="Q31" s="172"/>
      <c r="R31" s="172"/>
      <c r="S31" s="182">
        <f>SUM(S28:S30)</f>
        <v>1714180.06</v>
      </c>
      <c r="T31" s="192"/>
    </row>
    <row r="32" spans="1:23" s="76" customFormat="1" ht="17" customHeight="1">
      <c r="A32" s="70">
        <v>4</v>
      </c>
      <c r="B32" s="160" t="s">
        <v>44</v>
      </c>
      <c r="C32" s="71"/>
      <c r="D32" s="72"/>
      <c r="E32" s="73"/>
      <c r="F32" s="74" t="s">
        <v>11</v>
      </c>
      <c r="G32" s="75">
        <f>G31</f>
        <v>170730</v>
      </c>
      <c r="H32" s="127">
        <f t="shared" si="4"/>
        <v>1.1000000000000001</v>
      </c>
      <c r="I32" s="171">
        <f t="shared" si="5"/>
        <v>187803</v>
      </c>
      <c r="J32" s="11">
        <f>18*7000/G32</f>
        <v>0.73800738007380073</v>
      </c>
      <c r="K32" s="12">
        <v>1.45</v>
      </c>
      <c r="L32" s="44">
        <f t="shared" si="6"/>
        <v>126000</v>
      </c>
      <c r="M32" s="163" t="s">
        <v>105</v>
      </c>
      <c r="N32" s="45"/>
      <c r="O32" s="124"/>
      <c r="P32" s="124"/>
      <c r="Q32" s="181"/>
      <c r="R32" s="124"/>
      <c r="S32" s="182"/>
      <c r="T32" s="22"/>
      <c r="U32" s="61"/>
      <c r="V32" s="61"/>
      <c r="W32" s="61"/>
    </row>
    <row r="33" spans="1:23" ht="17" customHeight="1">
      <c r="A33" s="65">
        <v>5</v>
      </c>
      <c r="B33" s="158" t="s">
        <v>46</v>
      </c>
      <c r="C33" s="67"/>
      <c r="D33" s="68"/>
      <c r="E33" s="48"/>
      <c r="F33" s="24" t="s">
        <v>45</v>
      </c>
      <c r="G33" s="53">
        <f>G31</f>
        <v>170730</v>
      </c>
      <c r="H33" s="127">
        <f t="shared" si="4"/>
        <v>0.7</v>
      </c>
      <c r="I33" s="171">
        <f t="shared" si="5"/>
        <v>119511</v>
      </c>
      <c r="J33" s="11">
        <v>0.5</v>
      </c>
      <c r="K33" s="12">
        <v>1.45</v>
      </c>
      <c r="L33" s="44">
        <f t="shared" si="6"/>
        <v>85365</v>
      </c>
      <c r="M33" s="172"/>
      <c r="N33" s="45"/>
      <c r="O33" s="45"/>
      <c r="P33" s="45"/>
      <c r="Q33" s="183"/>
      <c r="R33" s="45"/>
      <c r="S33" s="175"/>
      <c r="T33" s="184"/>
      <c r="U33" s="61"/>
      <c r="V33" s="61"/>
      <c r="W33" s="61"/>
    </row>
    <row r="34" spans="1:23" ht="17" customHeight="1">
      <c r="A34" s="65">
        <v>6</v>
      </c>
      <c r="B34" s="66" t="s">
        <v>47</v>
      </c>
      <c r="C34" s="67"/>
      <c r="D34" s="68"/>
      <c r="E34" s="48"/>
      <c r="F34" s="24" t="s">
        <v>48</v>
      </c>
      <c r="G34" s="53">
        <f>G31</f>
        <v>170730</v>
      </c>
      <c r="H34" s="127">
        <f t="shared" si="4"/>
        <v>1.5</v>
      </c>
      <c r="I34" s="171">
        <f t="shared" si="5"/>
        <v>256095</v>
      </c>
      <c r="J34" s="11">
        <v>1</v>
      </c>
      <c r="K34" s="12">
        <v>1.45</v>
      </c>
      <c r="L34" s="44">
        <f t="shared" si="6"/>
        <v>170730</v>
      </c>
      <c r="M34" s="163"/>
      <c r="N34" s="45"/>
      <c r="O34" s="45"/>
      <c r="P34" s="45"/>
      <c r="Q34" s="45"/>
      <c r="R34" s="45"/>
      <c r="S34" s="175"/>
      <c r="T34" s="149"/>
      <c r="V34" s="61"/>
      <c r="W34" s="61"/>
    </row>
    <row r="35" spans="1:23" ht="17" customHeight="1">
      <c r="A35" s="65">
        <v>7</v>
      </c>
      <c r="B35" s="77" t="s">
        <v>103</v>
      </c>
      <c r="C35" s="67"/>
      <c r="D35" s="78"/>
      <c r="E35" s="79"/>
      <c r="F35" s="24" t="s">
        <v>49</v>
      </c>
      <c r="G35" s="53">
        <f>317+1096+579</f>
        <v>1992</v>
      </c>
      <c r="H35" s="127">
        <f t="shared" si="4"/>
        <v>81.900000000000006</v>
      </c>
      <c r="I35" s="171">
        <f t="shared" si="5"/>
        <v>163145</v>
      </c>
      <c r="J35" s="11">
        <v>63</v>
      </c>
      <c r="K35" s="12">
        <v>1.3</v>
      </c>
      <c r="L35" s="44">
        <f t="shared" si="6"/>
        <v>125496</v>
      </c>
      <c r="M35" s="193">
        <f>126+613+440</f>
        <v>1179</v>
      </c>
      <c r="N35" s="125" t="s">
        <v>106</v>
      </c>
      <c r="O35" s="124"/>
      <c r="P35" s="124"/>
      <c r="Q35" s="124"/>
      <c r="R35" s="124"/>
      <c r="S35" s="182"/>
      <c r="T35" s="151"/>
      <c r="V35" s="61"/>
      <c r="W35" s="61"/>
    </row>
    <row r="36" spans="1:23" s="2" customFormat="1" ht="17" customHeight="1">
      <c r="A36" s="70">
        <v>8</v>
      </c>
      <c r="B36" s="161" t="s">
        <v>50</v>
      </c>
      <c r="C36" s="67"/>
      <c r="D36" s="78"/>
      <c r="E36" s="79"/>
      <c r="F36" s="24" t="s">
        <v>49</v>
      </c>
      <c r="G36" s="53">
        <v>2910</v>
      </c>
      <c r="H36" s="127">
        <f t="shared" si="4"/>
        <v>9.8000000000000007</v>
      </c>
      <c r="I36" s="171">
        <f t="shared" si="5"/>
        <v>28518</v>
      </c>
      <c r="J36" s="11">
        <f>5.5+2</f>
        <v>7.5</v>
      </c>
      <c r="K36" s="12">
        <v>1.3</v>
      </c>
      <c r="L36" s="44">
        <f t="shared" si="6"/>
        <v>21825</v>
      </c>
      <c r="M36" s="150">
        <v>175</v>
      </c>
      <c r="N36" s="45"/>
      <c r="O36" s="124"/>
      <c r="P36" s="124"/>
      <c r="Q36" s="124"/>
      <c r="R36" s="124"/>
      <c r="S36" s="182"/>
      <c r="T36" s="152"/>
      <c r="U36" s="45"/>
      <c r="V36" s="61"/>
      <c r="W36" s="61"/>
    </row>
    <row r="37" spans="1:23" s="2" customFormat="1" ht="17" customHeight="1">
      <c r="A37" s="65">
        <v>9</v>
      </c>
      <c r="B37" s="148" t="s">
        <v>51</v>
      </c>
      <c r="C37" s="83"/>
      <c r="D37" s="83"/>
      <c r="E37" s="84"/>
      <c r="F37" s="52" t="s">
        <v>52</v>
      </c>
      <c r="G37" s="53">
        <v>108</v>
      </c>
      <c r="H37" s="127">
        <f>ROUND(J37*K37,0)</f>
        <v>3225</v>
      </c>
      <c r="I37" s="128">
        <f>ROUND(G37*H37,1)</f>
        <v>348300</v>
      </c>
      <c r="J37" s="13">
        <v>2150</v>
      </c>
      <c r="K37" s="12">
        <v>1.5</v>
      </c>
      <c r="L37" s="44">
        <f t="shared" si="6"/>
        <v>232200</v>
      </c>
      <c r="M37" s="124" t="s">
        <v>110</v>
      </c>
      <c r="N37" s="45"/>
      <c r="O37" s="124"/>
      <c r="P37" s="124"/>
      <c r="Q37" s="124"/>
      <c r="R37" s="124"/>
      <c r="S37" s="182"/>
      <c r="T37" s="153"/>
      <c r="U37" s="45"/>
      <c r="V37" s="76"/>
      <c r="W37" s="76"/>
    </row>
    <row r="38" spans="1:23" ht="17" customHeight="1">
      <c r="A38" s="164" t="s">
        <v>53</v>
      </c>
      <c r="B38" s="90" t="s">
        <v>54</v>
      </c>
      <c r="C38" s="91"/>
      <c r="D38" s="92"/>
      <c r="E38" s="80"/>
      <c r="F38" s="24" t="s">
        <v>55</v>
      </c>
      <c r="G38" s="53">
        <v>1</v>
      </c>
      <c r="H38" s="93">
        <f>ROUND(J38*K38,1)</f>
        <v>48000</v>
      </c>
      <c r="I38" s="94">
        <f>ROUND(G38*H38,0)</f>
        <v>48000</v>
      </c>
      <c r="J38" s="95">
        <v>40000</v>
      </c>
      <c r="K38" s="12">
        <v>1.2</v>
      </c>
      <c r="L38" s="44">
        <f t="shared" si="6"/>
        <v>40000</v>
      </c>
      <c r="M38" s="124" t="s">
        <v>116</v>
      </c>
      <c r="N38" s="45"/>
      <c r="O38" s="124"/>
      <c r="P38" s="124"/>
      <c r="Q38" s="124"/>
      <c r="R38" s="124"/>
      <c r="S38" s="182"/>
      <c r="T38" s="136"/>
      <c r="U38" s="45"/>
    </row>
    <row r="39" spans="1:23" ht="15" customHeight="1">
      <c r="A39" s="86"/>
      <c r="B39" s="173"/>
      <c r="C39" s="87"/>
      <c r="D39" s="194" t="s">
        <v>107</v>
      </c>
      <c r="E39" s="88"/>
      <c r="F39" s="81"/>
      <c r="G39" s="85"/>
      <c r="H39" s="127"/>
      <c r="I39" s="171"/>
      <c r="J39" s="11"/>
      <c r="K39" s="12"/>
      <c r="L39" s="44"/>
      <c r="M39" s="124"/>
      <c r="N39" s="45"/>
      <c r="O39" s="45"/>
      <c r="P39" s="45"/>
      <c r="Q39" s="45"/>
      <c r="R39" s="45"/>
      <c r="S39" s="175"/>
      <c r="T39" s="195"/>
      <c r="U39" s="64"/>
    </row>
    <row r="40" spans="1:23" ht="17" customHeight="1">
      <c r="A40" s="33" t="s">
        <v>56</v>
      </c>
      <c r="B40" s="198" t="s">
        <v>112</v>
      </c>
      <c r="C40" s="199"/>
      <c r="D40" s="200"/>
      <c r="E40" s="201"/>
      <c r="F40" s="202"/>
      <c r="G40" s="203"/>
      <c r="H40" s="204"/>
      <c r="I40" s="171"/>
      <c r="J40" s="11"/>
      <c r="K40" s="12"/>
      <c r="L40" s="44"/>
      <c r="M40" s="124"/>
      <c r="N40" s="45"/>
      <c r="O40" s="174"/>
      <c r="P40" s="45"/>
      <c r="Q40" s="45"/>
      <c r="R40" s="45"/>
      <c r="S40" s="175"/>
      <c r="T40" s="159"/>
      <c r="U40" s="45"/>
    </row>
    <row r="41" spans="1:23" ht="17" customHeight="1">
      <c r="A41" s="33" t="s">
        <v>56</v>
      </c>
      <c r="B41" s="198" t="s">
        <v>108</v>
      </c>
      <c r="C41" s="199"/>
      <c r="D41" s="200"/>
      <c r="E41" s="201"/>
      <c r="F41" s="202"/>
      <c r="G41" s="203"/>
      <c r="H41" s="204"/>
      <c r="I41" s="171"/>
      <c r="J41" s="11"/>
      <c r="K41" s="12"/>
      <c r="L41" s="44"/>
      <c r="M41" s="124"/>
      <c r="N41" s="45"/>
      <c r="U41" s="45"/>
    </row>
    <row r="42" spans="1:23" ht="17" customHeight="1">
      <c r="A42" s="33" t="s">
        <v>56</v>
      </c>
      <c r="B42" s="205" t="s">
        <v>113</v>
      </c>
      <c r="C42" s="206"/>
      <c r="D42" s="97"/>
      <c r="E42" s="207"/>
      <c r="F42" s="208"/>
      <c r="G42" s="209"/>
      <c r="H42" s="210"/>
      <c r="I42" s="98"/>
      <c r="J42" s="99"/>
      <c r="K42" s="12"/>
      <c r="L42" s="82"/>
      <c r="M42" s="96"/>
      <c r="N42" s="45"/>
    </row>
    <row r="43" spans="1:23" ht="17" customHeight="1">
      <c r="A43" s="33" t="s">
        <v>56</v>
      </c>
      <c r="B43" s="211" t="s">
        <v>114</v>
      </c>
      <c r="C43" s="100"/>
      <c r="D43" s="100"/>
      <c r="E43" s="100"/>
      <c r="F43" s="101"/>
      <c r="G43" s="102"/>
      <c r="H43" s="212"/>
      <c r="I43" s="103"/>
      <c r="J43" s="13"/>
      <c r="M43" s="96"/>
      <c r="N43" s="45"/>
    </row>
    <row r="44" spans="1:23" ht="17" customHeight="1">
      <c r="A44" s="33" t="s">
        <v>56</v>
      </c>
      <c r="B44" s="226" t="s">
        <v>109</v>
      </c>
      <c r="C44" s="227"/>
      <c r="D44" s="227"/>
      <c r="E44" s="227"/>
      <c r="F44" s="227"/>
      <c r="G44" s="227"/>
      <c r="H44" s="227"/>
      <c r="I44" s="104"/>
      <c r="J44" s="105"/>
      <c r="K44" s="12"/>
      <c r="L44" s="44"/>
      <c r="M44" s="10"/>
      <c r="N44" s="45"/>
    </row>
    <row r="45" spans="1:23" ht="16.25" customHeight="1">
      <c r="A45" s="106" t="s">
        <v>56</v>
      </c>
      <c r="B45" s="214" t="s">
        <v>117</v>
      </c>
      <c r="C45" s="215"/>
      <c r="D45" s="215"/>
      <c r="E45" s="215"/>
      <c r="F45" s="215"/>
      <c r="G45" s="215"/>
      <c r="H45" s="107"/>
      <c r="I45" s="89"/>
      <c r="J45" s="13"/>
      <c r="N45" s="45"/>
    </row>
    <row r="46" spans="1:23" ht="16.25" customHeight="1">
      <c r="A46" s="108"/>
      <c r="B46" s="214" t="s">
        <v>118</v>
      </c>
      <c r="C46" s="215"/>
      <c r="D46" s="215"/>
      <c r="E46" s="215"/>
      <c r="F46" s="215"/>
      <c r="G46" s="215"/>
      <c r="H46" s="107"/>
      <c r="I46" s="89"/>
      <c r="J46" s="13"/>
      <c r="M46" s="196"/>
      <c r="N46" s="22"/>
    </row>
    <row r="47" spans="1:23" ht="16.25" customHeight="1">
      <c r="A47" s="109"/>
      <c r="B47" s="214" t="s">
        <v>119</v>
      </c>
      <c r="C47" s="215"/>
      <c r="D47" s="215"/>
      <c r="E47" s="215"/>
      <c r="F47" s="215"/>
      <c r="G47" s="215"/>
      <c r="H47" s="110"/>
      <c r="I47" s="111"/>
      <c r="L47" s="165"/>
      <c r="M47" s="64"/>
      <c r="N47" s="45"/>
    </row>
    <row r="48" spans="1:23" ht="16.25" customHeight="1">
      <c r="A48" s="113"/>
      <c r="B48" s="214" t="s">
        <v>120</v>
      </c>
      <c r="C48" s="215"/>
      <c r="D48" s="215"/>
      <c r="E48" s="215"/>
      <c r="F48" s="215"/>
      <c r="G48" s="215"/>
      <c r="H48" s="166"/>
      <c r="I48" s="114"/>
      <c r="M48" s="126"/>
      <c r="N48" s="197"/>
    </row>
    <row r="49" spans="1:14" ht="17" customHeight="1">
      <c r="A49" s="108" t="s">
        <v>56</v>
      </c>
      <c r="B49" s="214" t="s">
        <v>121</v>
      </c>
      <c r="C49" s="215"/>
      <c r="D49" s="215"/>
      <c r="E49" s="216"/>
      <c r="F49" s="215"/>
      <c r="G49" s="216"/>
      <c r="H49" s="167" t="s">
        <v>57</v>
      </c>
      <c r="I49" s="115">
        <f>SUM(I8+I24+I27+I38)</f>
        <v>10160931</v>
      </c>
      <c r="J49" s="228"/>
      <c r="K49" s="229"/>
      <c r="L49" s="116">
        <f>SUM(L8:L47)*1.03</f>
        <v>9026555.4778500013</v>
      </c>
    </row>
    <row r="50" spans="1:14" ht="17" customHeight="1">
      <c r="A50" s="108"/>
      <c r="B50" s="230" t="s">
        <v>122</v>
      </c>
      <c r="C50" s="231"/>
      <c r="D50" s="231"/>
      <c r="E50" s="231"/>
      <c r="F50" s="231"/>
      <c r="G50" s="232"/>
      <c r="H50" s="117" t="s">
        <v>8</v>
      </c>
      <c r="I50" s="118" t="s">
        <v>9</v>
      </c>
      <c r="L50" s="116">
        <f>SUM(I49-L49)</f>
        <v>1134375.5221499987</v>
      </c>
    </row>
    <row r="51" spans="1:14" ht="17" customHeight="1" thickBot="1">
      <c r="A51" s="119"/>
      <c r="B51" s="217" t="s">
        <v>123</v>
      </c>
      <c r="C51" s="218"/>
      <c r="D51" s="218"/>
      <c r="E51" s="218"/>
      <c r="F51" s="218"/>
      <c r="G51" s="219"/>
      <c r="H51" s="120" t="s">
        <v>10</v>
      </c>
      <c r="I51" s="121">
        <f>I49*1.05</f>
        <v>10668977.550000001</v>
      </c>
      <c r="L51" s="122">
        <f>SUM(L50/I49)</f>
        <v>0.11164090398310929</v>
      </c>
      <c r="M51" s="112"/>
      <c r="N51" s="45"/>
    </row>
    <row r="52" spans="1:14" ht="20">
      <c r="A52" s="233"/>
      <c r="B52" s="233"/>
      <c r="C52" s="233"/>
      <c r="D52" s="233"/>
      <c r="E52" s="233"/>
      <c r="F52" s="233"/>
      <c r="G52" s="233"/>
      <c r="H52" s="233"/>
      <c r="I52" s="233"/>
      <c r="N52" s="126"/>
    </row>
    <row r="53" spans="1:14">
      <c r="N53" s="126"/>
    </row>
    <row r="54" spans="1:14">
      <c r="J54" s="7"/>
    </row>
    <row r="55" spans="1:14">
      <c r="J55" s="7"/>
    </row>
    <row r="57" spans="1:14">
      <c r="M57" s="156"/>
      <c r="N57" s="168"/>
    </row>
    <row r="58" spans="1:14">
      <c r="N58" s="169"/>
    </row>
    <row r="59" spans="1:14">
      <c r="N59" s="170"/>
    </row>
  </sheetData>
  <mergeCells count="11">
    <mergeCell ref="A2:I2"/>
    <mergeCell ref="A3:E3"/>
    <mergeCell ref="F3:I3"/>
    <mergeCell ref="A4:E4"/>
    <mergeCell ref="F4:I4"/>
    <mergeCell ref="A5:E5"/>
    <mergeCell ref="B6:E6"/>
    <mergeCell ref="B44:H44"/>
    <mergeCell ref="J49:K49"/>
    <mergeCell ref="B50:G50"/>
    <mergeCell ref="A52:I52"/>
  </mergeCells>
  <phoneticPr fontId="2" type="noConversion"/>
  <printOptions horizontalCentered="1"/>
  <pageMargins left="0" right="0" top="0.19685039370078741" bottom="0" header="0.31496062992125984" footer="0"/>
  <pageSetup paperSize="9" scale="89" fitToWidth="0" orientation="portrait"/>
  <headerFooter>
    <oddFooter>&amp;C鐵正綱工程興業有限公司    TEL:04-768-8550     傳真:04-768-6623&amp;R&amp;P</oddFooter>
  </headerFooter>
  <drawing r:id="rId1"/>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A棟報價單</vt:lpstr>
      <vt:lpstr>A棟報價單!Print_Area</vt:lpstr>
      <vt:lpstr>A棟報價單!Print_Titles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dc:creator>
  <cp:lastModifiedBy>M11302115</cp:lastModifiedBy>
  <cp:lastPrinted>2026-09-09T01:19:03Z</cp:lastPrinted>
  <dcterms:created xsi:type="dcterms:W3CDTF">2023-12-25T00:52:59Z</dcterms:created>
  <dcterms:modified xsi:type="dcterms:W3CDTF">2026-09-10T03:55:15Z</dcterms:modified>
</cp:coreProperties>
</file>